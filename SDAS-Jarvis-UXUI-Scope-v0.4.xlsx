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專案說明" sheetId="1" r:id="rId1"/>
    <sheet name="02_功能規格總表" sheetId="2" r:id="rId2"/>
    <sheet name="03_畫面清單" sheetId="3" r:id="rId3"/>
    <sheet name="04_元件清單" sheetId="4" r:id="rId4"/>
    <sheet name="05_待確認事項" sheetId="5" r:id="rId5"/>
    <sheet name="06_不列入本次範圍" sheetId="6" r:id="rId6"/>
  </sheets>
  <calcPr calcId="0" fullCalcOnLoad="1"/>
</workbook>
</file>

<file path=xl/styles.xml><?xml version="1.0" encoding="utf-8"?>
<styleSheet xmlns="http://schemas.openxmlformats.org/spreadsheetml/2006/main">
  <numFmts count="0"/>
  <fonts count="5">
    <font>
      <sz val="10"/>
      <name val="Arial"/>
      <family val="2"/>
    </font>
    <font>
      <b/>
      <sz val="10"/>
      <name val="Arial"/>
      <family val="2"/>
    </font>
    <font>
      <b/>
      <sz val="14"/>
      <color rgb="FF1F4093"/>
      <name val="Arial"/>
      <family val="2"/>
    </font>
    <font>
      <b/>
      <sz val="10"/>
      <color rgb="FFFFFFFF"/>
      <name val="Arial"/>
      <family val="2"/>
    </font>
    <font>
      <sz val="9"/>
      <color rgb="FF6B72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093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4.5"/>
  <cols>
    <col min="1" max="1" width="3" customWidth="1"/>
    <col min="2" max="2" width="20" customWidth="1"/>
    <col min="3" max="3" width="86" customWidth="1"/>
    <col min="4" max="4" width="20" customWidth="1"/>
  </cols>
  <sheetData>
    <row r="1" ht="22" customHeight="1">
      <c r="B1" s="1" t="inlineStr">
        <is>
          <t xml:space="preserve">SDAS「Jarvis」AI 平台 — UX／UI 設計範圍表</t>
        </is>
      </c>
    </row>
    <row r="2">
      <c r="B2" s="2" t="inlineStr">
        <is>
          <t xml:space="preserve">v0.4 · 供 PM 評估工作範圍與報價使用 · 來源：Figma 設計檔整理</t>
        </is>
      </c>
    </row>
    <row r="4">
      <c r="B4" s="3" t="inlineStr">
        <is>
          <t xml:space="preserve">一、專案基本資訊</t>
        </is>
      </c>
    </row>
    <row r="5">
      <c r="B5" s="8" t="inlineStr">
        <is>
          <t xml:space="preserve">專案</t>
        </is>
      </c>
      <c r="C5" s="9" t="inlineStr">
        <is>
          <t xml:space="preserve">對話式 AI 助理平台（全繁體中文）之 UX 流程與 UI 設計</t>
        </is>
      </c>
    </row>
    <row r="6">
      <c r="B6" s="8" t="inlineStr">
        <is>
          <t xml:space="preserve">設計範圍</t>
        </is>
      </c>
      <c r="C6" s="9" t="inlineStr">
        <is>
          <t xml:space="preserve">資訊架構與導覽收斂、各模組使用流程定義、畫面版面與狀態設計、互動規範、設計系統與元件庫建置、手機版適配</t>
        </is>
      </c>
    </row>
    <row r="7">
      <c r="B7" s="8" t="inlineStr">
        <is>
          <t xml:space="preserve">不含</t>
        </is>
      </c>
      <c r="C7" s="9" t="inlineStr">
        <is>
          <t xml:space="preserve">前後端實作、API 規格、資料串接邏輯</t>
        </is>
      </c>
    </row>
    <row r="8">
      <c r="B8" s="8" t="inlineStr">
        <is>
          <t xml:space="preserve">產出形式</t>
        </is>
      </c>
      <c r="C8" s="9" t="inlineStr">
        <is>
          <t xml:space="preserve">Figma 設計檔（畫面、元件庫、規格說明頁）＋設計規範文件</t>
        </is>
      </c>
    </row>
    <row r="10">
      <c r="B10" s="3" t="inlineStr">
        <is>
          <t xml:space="preserve">二、工作表導覽</t>
        </is>
      </c>
    </row>
    <row r="11">
      <c r="B11" s="8" t="inlineStr">
        <is>
          <t xml:space="preserve">02_功能規格總表</t>
        </is>
      </c>
      <c r="C11" s="9" t="inlineStr">
        <is>
          <t xml:space="preserve">★ 主要工作表。70 個設計項目逐條列出，含模組／設計類型分類。黃色欄位（開發複雜度、預估人天、優先度、備註）留給 PM 填寫，可用篩選按模組或類型分組估算</t>
        </is>
      </c>
    </row>
    <row r="12">
      <c r="B12" s="8" t="inlineStr">
        <is>
          <t xml:space="preserve">03_畫面清單</t>
        </is>
      </c>
      <c r="C12" s="9" t="inlineStr">
        <is>
          <t xml:space="preserve">實際產出的畫面、次視圖、對話框、規格說明頁清單，供計算畫面數量</t>
        </is>
      </c>
    </row>
    <row r="13">
      <c r="B13" s="8" t="inlineStr">
        <is>
          <t xml:space="preserve">04_元件清單</t>
        </is>
      </c>
      <c r="C13" s="9" t="inlineStr">
        <is>
          <t xml:space="preserve">設計系統元件與其變體數，供評估前端元件開發量</t>
        </is>
      </c>
    </row>
    <row r="14">
      <c r="B14" s="8" t="inlineStr">
        <is>
          <t xml:space="preserve">05_待確認事項</t>
        </is>
      </c>
      <c r="C14" s="9" t="inlineStr">
        <is>
          <t xml:space="preserve">報價前需與客戶／內部確認的項目，未定案會影響工時估算</t>
        </is>
      </c>
    </row>
    <row r="15">
      <c r="B15" s="8" t="inlineStr">
        <is>
          <t xml:space="preserve">06_不列入本次範圍</t>
        </is>
      </c>
      <c r="C15" s="9" t="inlineStr">
        <is>
          <t xml:space="preserve">明確排除的項目，避免被預設為已包含在報價內</t>
        </is>
      </c>
    </row>
    <row r="17">
      <c r="B17" s="3" t="inlineStr">
        <is>
          <t xml:space="preserve">三、數量摘要（自動計算）</t>
        </is>
      </c>
    </row>
    <row r="18">
      <c r="B18" s="8" t="inlineStr">
        <is>
          <t xml:space="preserve">設計項目總數</t>
        </is>
      </c>
      <c r="C18" s="9">
        <f>COUNTA('02_功能規格總表'!A3:A200)</f>
      </c>
    </row>
    <row r="19">
      <c r="B19" s="8" t="inlineStr">
        <is>
          <t xml:space="preserve">　├ 1 · 資訊架構與導覽</t>
        </is>
      </c>
      <c r="C19" s="9">
        <f>COUNTIF('02_功能規格總表'!B3:B200,"1 · 資訊架構與導覽")</f>
      </c>
    </row>
    <row r="20">
      <c r="B20" s="8" t="inlineStr">
        <is>
          <t xml:space="preserve">　├ 2 · 對話 Chat</t>
        </is>
      </c>
      <c r="C20" s="9">
        <f>COUNTIF('02_功能規格總表'!B3:B200,"2 · 對話 Chat")</f>
      </c>
    </row>
    <row r="21">
      <c r="B21" s="8" t="inlineStr">
        <is>
          <t xml:space="preserve">　├ 3 · 知識庫 RAG</t>
        </is>
      </c>
      <c r="C21" s="9">
        <f>COUNTIF('02_功能規格總表'!B3:B200,"3 · 知識庫 RAG")</f>
      </c>
    </row>
    <row r="22">
      <c r="B22" s="8" t="inlineStr">
        <is>
          <t xml:space="preserve">　├ 4 · 監控 Dashboard</t>
        </is>
      </c>
      <c r="C22" s="9">
        <f>COUNTIF('02_功能規格總表'!B3:B200,"4 · 監控 Dashboard")</f>
      </c>
    </row>
    <row r="23">
      <c r="B23" s="8" t="inlineStr">
        <is>
          <t xml:space="preserve">　├ 5 · 排程與報告</t>
        </is>
      </c>
      <c r="C23" s="9">
        <f>COUNTIF('02_功能規格總表'!B3:B200,"5 · 排程與報告")</f>
      </c>
    </row>
    <row r="24">
      <c r="B24" s="8" t="inlineStr">
        <is>
          <t xml:space="preserve">　├ 6 · 設定</t>
        </is>
      </c>
      <c r="C24" s="9">
        <f>COUNTIF('02_功能規格總表'!B3:B200,"6 · 設定")</f>
      </c>
    </row>
    <row r="25">
      <c r="B25" s="8" t="inlineStr">
        <is>
          <t xml:space="preserve">　├ 7 · 手機版適配</t>
        </is>
      </c>
      <c r="C25" s="9">
        <f>COUNTIF('02_功能規格總表'!B3:B200,"7 · 手機版適配")</f>
      </c>
    </row>
    <row r="26">
      <c r="B26" s="8" t="inlineStr">
        <is>
          <t xml:space="preserve">　└ 8 · 設計系統與元件庫</t>
        </is>
      </c>
      <c r="C26" s="9">
        <f>COUNTIF('02_功能規格總表'!B3:B200,"8 · 設計系統與元件庫")</f>
      </c>
    </row>
    <row r="27">
      <c r="B27" s="8" t="inlineStr">
        <is>
          <t xml:space="preserve">畫面／對話框總數</t>
        </is>
      </c>
      <c r="C27" s="9">
        <f>COUNTA('03_畫面清單'!A3:A200)</f>
      </c>
    </row>
    <row r="28">
      <c r="B28" s="8" t="inlineStr">
        <is>
          <t xml:space="preserve">元件項目數</t>
        </is>
      </c>
      <c r="C28" s="9">
        <f>COUNTA('04_元件清單'!A3:A200)</f>
      </c>
    </row>
    <row r="29">
      <c r="B29" s="8" t="inlineStr">
        <is>
          <t xml:space="preserve">待確認事項</t>
        </is>
      </c>
      <c r="C29" s="9">
        <f>COUNTA('05_待確認事項'!A3:A200)</f>
      </c>
    </row>
    <row r="30">
      <c r="B30" s="8" t="inlineStr">
        <is>
          <t xml:space="preserve">PM 預估人天合計</t>
        </is>
      </c>
      <c r="C30" s="9">
        <f>SUM('02_功能規格總表'!H3:H200)</f>
      </c>
    </row>
    <row r="32">
      <c r="B32" s="2" t="inlineStr">
        <is>
          <t xml:space="preserve">※ 上方數字為公式，會隨各分頁內容自動更新。「PM 預估人天合計」需先在 02 分頁填入人天才會有數值。</t>
        </is>
      </c>
    </row>
  </sheetData>
  <pageMargins left="0.5" right="0.5" top="0.5" bottom="0.5" header="0.3" footer="0.3"/>
</worksheet>
</file>

<file path=xl/worksheets/sheet2.xml><?xml version="1.0" encoding="utf-8"?>
<worksheet xmlns="http://schemas.openxmlformats.org/spreadsheetml/2006/main">
  <sheetViews>
    <sheetView workbookViewId="0">
      <pane xSplit="2" ySplit="2" topLeftCell="C3" activePane="bottomRight" state="frozen"/>
      <selection pane="bottomRight" activeCell="C3" sqref="C3"/>
    </sheetView>
  </sheetViews>
  <sheetFormatPr defaultRowHeight="14.5"/>
  <cols>
    <col min="1" max="1" width="6" customWidth="1"/>
    <col min="2" max="2" width="20" customWidth="1"/>
    <col min="3" max="3" width="22" customWidth="1"/>
    <col min="4" max="4" width="80" customWidth="1"/>
    <col min="5" max="5" width="24" customWidth="1"/>
    <col min="6" max="6" width="10" customWidth="1"/>
    <col min="7" max="7" width="12" customWidth="1"/>
    <col min="8" max="8" width="10" customWidth="1"/>
    <col min="9" max="9" width="9" customWidth="1"/>
    <col min="10" max="10" width="18" customWidth="1"/>
  </cols>
  <sheetData>
    <row r="1" ht="22" customHeight="1">
      <c r="B1" s="1" t="inlineStr">
        <is>
          <t xml:space="preserve">SDAS Jarvis — 功能規格總表（設計項目逐條）</t>
        </is>
      </c>
      <c r="G1" s="2" t="inlineStr">
        <is>
          <t xml:space="preserve">← 灰底欄位為已完成之設計內容</t>
        </is>
      </c>
      <c r="H1" s="2" t="inlineStr">
        <is>
          <t xml:space="preserve">← 黃底欄位請 PM 填寫</t>
        </is>
      </c>
    </row>
    <row r="2" ht="30" customHeight="1">
      <c r="A2" s="4" t="inlineStr">
        <is>
          <t xml:space="preserve">編號</t>
        </is>
      </c>
      <c r="B2" s="4" t="inlineStr">
        <is>
          <t xml:space="preserve">模組</t>
        </is>
      </c>
      <c r="C2" s="4" t="inlineStr">
        <is>
          <t xml:space="preserve">設計項目</t>
        </is>
      </c>
      <c r="D2" s="4" t="inlineStr">
        <is>
          <t xml:space="preserve">設計內容</t>
        </is>
      </c>
      <c r="E2" s="4" t="inlineStr">
        <is>
          <t xml:space="preserve">主要產出畫面</t>
        </is>
      </c>
      <c r="F2" s="4" t="inlineStr">
        <is>
          <t xml:space="preserve">設計類型</t>
        </is>
      </c>
      <c r="G2" s="4" t="inlineStr">
        <is>
          <t xml:space="preserve">開發複雜度</t>
        </is>
      </c>
      <c r="H2" s="4" t="inlineStr">
        <is>
          <t xml:space="preserve">預估人天</t>
        </is>
      </c>
      <c r="I2" s="4" t="inlineStr">
        <is>
          <t xml:space="preserve">優先度</t>
        </is>
      </c>
      <c r="J2" s="4" t="inlineStr">
        <is>
          <t xml:space="preserve">備註</t>
        </is>
      </c>
    </row>
    <row r="3">
      <c r="A3" s="6" t="inlineStr">
        <is>
          <t xml:space="preserve">1-1</t>
        </is>
      </c>
      <c r="B3" s="5" t="inlineStr">
        <is>
          <t xml:space="preserve">1 · 資訊架構與導覽</t>
        </is>
      </c>
      <c r="C3" s="5" t="inlineStr">
        <is>
          <t xml:space="preserve">導覽收斂</t>
        </is>
      </c>
      <c r="D3" s="5" t="inlineStr">
        <is>
          <t xml:space="preserve">原 7 頁導覽重新盤點並收斂為 5 格（對話／知識庫／監控／排程與報告／設定），提出收斂方案畫板與取捨說明</t>
        </is>
      </c>
      <c r="E3" s="5" t="inlineStr">
        <is>
          <t xml:space="preserve">導覽收斂提案畫板</t>
        </is>
      </c>
      <c r="F3" s="6" t="inlineStr">
        <is>
          <t xml:space="preserve">架構</t>
        </is>
      </c>
      <c r="G3" s="7"/>
      <c r="H3" s="7"/>
      <c r="I3" s="7"/>
      <c r="J3" s="7"/>
    </row>
    <row r="4">
      <c r="A4" s="6" t="inlineStr">
        <is>
          <t xml:space="preserve">1-2</t>
        </is>
      </c>
      <c r="B4" s="5" t="inlineStr">
        <is>
          <t xml:space="preserve">1 · 資訊架構與導覽</t>
        </is>
      </c>
      <c r="C4" s="5" t="inlineStr">
        <is>
          <t xml:space="preserve">分類判準定義</t>
        </is>
      </c>
      <c r="D4" s="5" t="inlineStr">
        <is>
          <t xml:space="preserve">訂出「工作流 vs 設定」的頁面歸屬判準，供後續新增頁面沿用</t>
        </is>
      </c>
      <c r="E4" s="5" t="inlineStr">
        <is>
          <t xml:space="preserve">全站共用</t>
        </is>
      </c>
      <c r="F4" s="6" t="inlineStr">
        <is>
          <t xml:space="preserve">規範</t>
        </is>
      </c>
      <c r="G4" s="7"/>
      <c r="H4" s="7"/>
      <c r="I4" s="7"/>
      <c r="J4" s="7"/>
    </row>
    <row r="5">
      <c r="A5" s="6" t="inlineStr">
        <is>
          <t xml:space="preserve">1-3</t>
        </is>
      </c>
      <c r="B5" s="5" t="inlineStr">
        <is>
          <t xml:space="preserve">1 · 資訊架構與導覽</t>
        </is>
      </c>
      <c r="C5" s="5" t="inlineStr">
        <is>
          <t xml:space="preserve">共用外殼設計</t>
        </is>
      </c>
      <c r="D5" s="5" t="inlineStr">
        <is>
          <t xml:space="preserve">icon rail ＋ 側欄 ＋ 頂部 header ＋ 內容區的版面骨架與尺寸定義</t>
        </is>
      </c>
      <c r="E5" s="5" t="inlineStr">
        <is>
          <t xml:space="preserve">全站共用</t>
        </is>
      </c>
      <c r="F5" s="6" t="inlineStr">
        <is>
          <t xml:space="preserve">版面</t>
        </is>
      </c>
      <c r="G5" s="7"/>
      <c r="H5" s="7"/>
      <c r="I5" s="7"/>
      <c r="J5" s="7"/>
    </row>
    <row r="6">
      <c r="A6" s="6" t="inlineStr">
        <is>
          <t xml:space="preserve">1-4</t>
        </is>
      </c>
      <c r="B6" s="5" t="inlineStr">
        <is>
          <t xml:space="preserve">1 · 資訊架構與導覽</t>
        </is>
      </c>
      <c r="C6" s="5" t="inlineStr">
        <is>
          <t xml:space="preserve">側欄模式定義</t>
        </is>
      </c>
      <c r="D6" s="5" t="inlineStr">
        <is>
          <t xml:space="preserve">統一「側欄＝切換器、主區＝單一詳情」的兩層心智模型，套用於知識庫與監控</t>
        </is>
      </c>
      <c r="E6" s="5" t="inlineStr">
        <is>
          <t xml:space="preserve">知識庫／監控</t>
        </is>
      </c>
      <c r="F6" s="6" t="inlineStr">
        <is>
          <t xml:space="preserve">架構</t>
        </is>
      </c>
      <c r="G6" s="7"/>
      <c r="H6" s="7"/>
      <c r="I6" s="7"/>
      <c r="J6" s="7"/>
    </row>
    <row r="7">
      <c r="A7" s="6" t="inlineStr">
        <is>
          <t xml:space="preserve">1-5</t>
        </is>
      </c>
      <c r="B7" s="5" t="inlineStr">
        <is>
          <t xml:space="preserve">1 · 資訊架構與導覽</t>
        </is>
      </c>
      <c r="C7" s="5" t="inlineStr">
        <is>
          <t xml:space="preserve">側欄行為規範</t>
        </is>
      </c>
      <c r="D7" s="5" t="inlineStr">
        <is>
          <t xml:space="preserve">側欄只放檢視、不放動作；新增類動作一律移至主區右上按鈕</t>
        </is>
      </c>
      <c r="E7" s="5" t="inlineStr">
        <is>
          <t xml:space="preserve">全站共用</t>
        </is>
      </c>
      <c r="F7" s="6" t="inlineStr">
        <is>
          <t xml:space="preserve">規範</t>
        </is>
      </c>
      <c r="G7" s="7"/>
      <c r="H7" s="7"/>
      <c r="I7" s="7"/>
      <c r="J7" s="7"/>
    </row>
    <row r="8">
      <c r="A8" s="6" t="inlineStr">
        <is>
          <t xml:space="preserve">2-1</t>
        </is>
      </c>
      <c r="B8" s="5" t="inlineStr">
        <is>
          <t xml:space="preserve">2 · 對話 Chat</t>
        </is>
      </c>
      <c r="C8" s="5" t="inlineStr">
        <is>
          <t xml:space="preserve">對話流程定義</t>
        </is>
      </c>
      <c r="D8" s="5" t="inlineStr">
        <is>
          <t xml:space="preserve">提問 → 生成 → 回覆 → 追問／回溯的完整流程與各節點畫面狀態定義</t>
        </is>
      </c>
      <c r="E8" s="5" t="inlineStr">
        <is>
          <t xml:space="preserve">對話主畫面／生成中</t>
        </is>
      </c>
      <c r="F8" s="6" t="inlineStr">
        <is>
          <t xml:space="preserve">流程</t>
        </is>
      </c>
      <c r="G8" s="7"/>
      <c r="H8" s="7"/>
      <c r="I8" s="7"/>
      <c r="J8" s="7"/>
    </row>
    <row r="9">
      <c r="A9" s="6" t="inlineStr">
        <is>
          <t xml:space="preserve">2-2</t>
        </is>
      </c>
      <c r="B9" s="5" t="inlineStr">
        <is>
          <t xml:space="preserve">2 · 對話 Chat</t>
        </is>
      </c>
      <c r="C9" s="5" t="inlineStr">
        <is>
          <t xml:space="preserve">訊息 UI 設計</t>
        </is>
      </c>
      <c r="D9" s="5" t="inlineStr">
        <is>
          <t xml:space="preserve">訊息泡泡 5 種狀態設計（使用者／AI／hover 操作列／排隊／思考中），含對齊、留白、時間戳位置規範</t>
        </is>
      </c>
      <c r="E9" s="5" t="inlineStr">
        <is>
          <t xml:space="preserve">對話主畫面</t>
        </is>
      </c>
      <c r="F9" s="6" t="inlineStr">
        <is>
          <t xml:space="preserve">元件</t>
        </is>
      </c>
      <c r="G9" s="7"/>
      <c r="H9" s="7"/>
      <c r="I9" s="7"/>
      <c r="J9" s="7"/>
    </row>
    <row r="10">
      <c r="A10" s="6" t="inlineStr">
        <is>
          <t xml:space="preserve">2-3</t>
        </is>
      </c>
      <c r="B10" s="5" t="inlineStr">
        <is>
          <t xml:space="preserve">2 · 對話 Chat</t>
        </is>
      </c>
      <c r="C10" s="5" t="inlineStr">
        <is>
          <t xml:space="preserve">Markdown 回覆樣式定義</t>
        </is>
      </c>
      <c r="D10" s="5" t="inlineStr">
        <is>
          <t xml:space="preserve">AI 回覆的 9 種內容區塊樣式（表格／清單／編號清單／程式碼／Mermaid／引用／H2／H3／圖表），並統一各區塊的複製與下載按鈕圖示、字級、對位規則</t>
        </is>
      </c>
      <c r="E10" s="5" t="inlineStr">
        <is>
          <t xml:space="preserve">對話主畫面</t>
        </is>
      </c>
      <c r="F10" s="6" t="inlineStr">
        <is>
          <t xml:space="preserve">元件</t>
        </is>
      </c>
      <c r="G10" s="7"/>
      <c r="H10" s="7"/>
      <c r="I10" s="7"/>
      <c r="J10" s="7"/>
    </row>
    <row r="11">
      <c r="A11" s="6" t="inlineStr">
        <is>
          <t xml:space="preserve">2-4</t>
        </is>
      </c>
      <c r="B11" s="5" t="inlineStr">
        <is>
          <t xml:space="preserve">2 · 對話 Chat</t>
        </is>
      </c>
      <c r="C11" s="5" t="inlineStr">
        <is>
          <t xml:space="preserve">輸入區 Composer 設計</t>
        </is>
      </c>
      <c r="D11" s="5" t="inlineStr">
        <is>
          <t xml:space="preserve">四種狀態版面（可送出／未輸入／生成中／超過高度上限）；定義生成中的中斷行為、續打與訊息排隊的互動規則、取消排隊的回退路徑；格式輸入改為純打字快捷（放棄格式工具列），並定義送出與換行按鍵</t>
        </is>
      </c>
      <c r="E11" s="5" t="inlineStr">
        <is>
          <t xml:space="preserve">對話主畫面／生成中</t>
        </is>
      </c>
      <c r="F11" s="6" t="inlineStr">
        <is>
          <t xml:space="preserve">元件</t>
        </is>
      </c>
      <c r="G11" s="7"/>
      <c r="H11" s="7"/>
      <c r="I11" s="7"/>
      <c r="J11" s="7"/>
    </row>
    <row r="12">
      <c r="A12" s="6" t="inlineStr">
        <is>
          <t xml:space="preserve">2-5</t>
        </is>
      </c>
      <c r="B12" s="5" t="inlineStr">
        <is>
          <t xml:space="preserve">2 · 對話 Chat</t>
        </is>
      </c>
      <c r="C12" s="5" t="inlineStr">
        <is>
          <t xml:space="preserve">附件流程與樣式</t>
        </is>
      </c>
      <c r="D12" s="5" t="inlineStr">
        <is>
          <t xml:space="preserve">附件選單設計、支援格式定義、不支援格式的前置阻擋流程；附件 chip 四型樣式（檔案／圖片／錯誤／圖表）與多檔換行排列規則</t>
        </is>
      </c>
      <c r="E12" s="5" t="inlineStr">
        <is>
          <t xml:space="preserve">對話主畫面</t>
        </is>
      </c>
      <c r="F12" s="6" t="inlineStr">
        <is>
          <t xml:space="preserve">流程</t>
        </is>
      </c>
      <c r="G12" s="7"/>
      <c r="H12" s="7"/>
      <c r="I12" s="7"/>
      <c r="J12" s="7"/>
    </row>
    <row r="13">
      <c r="A13" s="6" t="inlineStr">
        <is>
          <t xml:space="preserve">2-6</t>
        </is>
      </c>
      <c r="B13" s="5" t="inlineStr">
        <is>
          <t xml:space="preserve">2 · 對話 Chat</t>
        </is>
      </c>
      <c r="C13" s="5" t="inlineStr">
        <is>
          <t xml:space="preserve">思考過程 UI</t>
        </is>
      </c>
      <c r="D13" s="5" t="inlineStr">
        <is>
          <t xml:space="preserve">可收合的思考步驟列表設計：摘要列、累計耗時位置、步驟兩種狀態圖示、收合態版面</t>
        </is>
      </c>
      <c r="E13" s="5" t="inlineStr">
        <is>
          <t xml:space="preserve">對話 · 生成中</t>
        </is>
      </c>
      <c r="F13" s="6" t="inlineStr">
        <is>
          <t xml:space="preserve">元件</t>
        </is>
      </c>
      <c r="G13" s="7"/>
      <c r="H13" s="7"/>
      <c r="I13" s="7"/>
      <c r="J13" s="7"/>
    </row>
    <row r="14">
      <c r="A14" s="6" t="inlineStr">
        <is>
          <t xml:space="preserve">2-7</t>
        </is>
      </c>
      <c r="B14" s="5" t="inlineStr">
        <is>
          <t xml:space="preserve">2 · 對話 Chat</t>
        </is>
      </c>
      <c r="C14" s="5" t="inlineStr">
        <is>
          <t xml:space="preserve">提問目錄設計</t>
        </is>
      </c>
      <c r="D14" s="5" t="inlineStr">
        <is>
          <t xml:space="preserve">右側索引面板展開／收合兩態、項目三種閱讀狀態、上限筆數與溢位處理</t>
        </is>
      </c>
      <c r="E14" s="5" t="inlineStr">
        <is>
          <t xml:space="preserve">對話主畫面</t>
        </is>
      </c>
      <c r="F14" s="6" t="inlineStr">
        <is>
          <t xml:space="preserve">元件</t>
        </is>
      </c>
      <c r="G14" s="7"/>
      <c r="H14" s="7"/>
      <c r="I14" s="7"/>
      <c r="J14" s="7"/>
    </row>
    <row r="15">
      <c r="A15" s="6" t="inlineStr">
        <is>
          <t xml:space="preserve">2-8</t>
        </is>
      </c>
      <c r="B15" s="5" t="inlineStr">
        <is>
          <t xml:space="preserve">2 · 對話 Chat</t>
        </is>
      </c>
      <c r="C15" s="5" t="inlineStr">
        <is>
          <t xml:space="preserve">歷史對話清單設計</t>
        </is>
      </c>
      <c r="D15" s="5" t="inlineStr">
        <is>
          <t xml:space="preserve">三種狀態（進行中／完成未讀／已讀）以顏色語言區分的樣式定義</t>
        </is>
      </c>
      <c r="E15" s="5" t="inlineStr">
        <is>
          <t xml:space="preserve">對話主畫面</t>
        </is>
      </c>
      <c r="F15" s="6" t="inlineStr">
        <is>
          <t xml:space="preserve">元件</t>
        </is>
      </c>
      <c r="G15" s="7"/>
      <c r="H15" s="7"/>
      <c r="I15" s="7"/>
      <c r="J15" s="7"/>
    </row>
    <row r="16">
      <c r="A16" s="6" t="inlineStr">
        <is>
          <t xml:space="preserve">2-9</t>
        </is>
      </c>
      <c r="B16" s="5" t="inlineStr">
        <is>
          <t xml:space="preserve">2 · 對話 Chat</t>
        </is>
      </c>
      <c r="C16" s="5" t="inlineStr">
        <is>
          <t xml:space="preserve">出處引用樣式</t>
        </is>
      </c>
      <c r="D16" s="5" t="inlineStr">
        <is>
          <t xml:space="preserve">出處 chip 樣式與點擊後開啟原文並高亮的互動定義</t>
        </is>
      </c>
      <c r="E16" s="5" t="inlineStr">
        <is>
          <t xml:space="preserve">對話主畫面</t>
        </is>
      </c>
      <c r="F16" s="6" t="inlineStr">
        <is>
          <t xml:space="preserve">元件</t>
        </is>
      </c>
      <c r="G16" s="7"/>
      <c r="H16" s="7"/>
      <c r="I16" s="7"/>
      <c r="J16" s="7"/>
    </row>
    <row r="17">
      <c r="A17" s="6" t="inlineStr">
        <is>
          <t xml:space="preserve">2-10</t>
        </is>
      </c>
      <c r="B17" s="5" t="inlineStr">
        <is>
          <t xml:space="preserve">2 · 對話 Chat</t>
        </is>
      </c>
      <c r="C17" s="5" t="inlineStr">
        <is>
          <t xml:space="preserve">監控↔對話往返流程</t>
        </is>
      </c>
      <c r="D17" s="5" t="inlineStr">
        <is>
          <t xml:space="preserve">圖表帶入對話（含時間區間顯示規則）與圖表存回 Dashboard 的雙向流程設計，含來源標示與回溯路徑</t>
        </is>
      </c>
      <c r="E17" s="5" t="inlineStr">
        <is>
          <t xml:space="preserve">對話 · 圖表往返</t>
        </is>
      </c>
      <c r="F17" s="6" t="inlineStr">
        <is>
          <t xml:space="preserve">流程</t>
        </is>
      </c>
      <c r="G17" s="7"/>
      <c r="H17" s="7"/>
      <c r="I17" s="7"/>
      <c r="J17" s="7"/>
    </row>
    <row r="18">
      <c r="A18" s="6" t="inlineStr">
        <is>
          <t xml:space="preserve">3-1</t>
        </is>
      </c>
      <c r="B18" s="5" t="inlineStr">
        <is>
          <t xml:space="preserve">3 · 知識庫 RAG</t>
        </is>
      </c>
      <c r="C18" s="5" t="inlineStr">
        <is>
          <t xml:space="preserve">兩層架構設計</t>
        </is>
      </c>
      <c r="D18" s="5" t="inlineStr">
        <is>
          <t xml:space="preserve">側欄切換器＋主區單一詳情的版面設計，含停用知識庫的呈現規則</t>
        </is>
      </c>
      <c r="E18" s="5" t="inlineStr">
        <is>
          <t xml:space="preserve">知識庫詳情</t>
        </is>
      </c>
      <c r="F18" s="6" t="inlineStr">
        <is>
          <t xml:space="preserve">架構</t>
        </is>
      </c>
      <c r="G18" s="7"/>
      <c r="H18" s="7"/>
      <c r="I18" s="7"/>
      <c r="J18" s="7"/>
    </row>
    <row r="19">
      <c r="A19" s="6" t="inlineStr">
        <is>
          <t xml:space="preserve">3-2</t>
        </is>
      </c>
      <c r="B19" s="5" t="inlineStr">
        <is>
          <t xml:space="preserve">3 · 知識庫 RAG</t>
        </is>
      </c>
      <c r="C19" s="5" t="inlineStr">
        <is>
          <t xml:space="preserve">知識庫詳情版面</t>
        </is>
      </c>
      <c r="D19" s="5" t="inlineStr">
        <is>
          <t xml:space="preserve">變更狀態列／說明／啟用開關／載入預算／文件清單／檢索測試／健康狀態的區塊排序與版面</t>
        </is>
      </c>
      <c r="E19" s="5" t="inlineStr">
        <is>
          <t xml:space="preserve">知識庫詳情</t>
        </is>
      </c>
      <c r="F19" s="6" t="inlineStr">
        <is>
          <t xml:space="preserve">版面</t>
        </is>
      </c>
      <c r="G19" s="7"/>
      <c r="H19" s="7"/>
      <c r="I19" s="7"/>
      <c r="J19" s="7"/>
    </row>
    <row r="20">
      <c r="A20" s="6" t="inlineStr">
        <is>
          <t xml:space="preserve">3-3</t>
        </is>
      </c>
      <c r="B20" s="5" t="inlineStr">
        <is>
          <t xml:space="preserve">3 · 知識庫 RAG</t>
        </is>
      </c>
      <c r="C20" s="5" t="inlineStr">
        <is>
          <t xml:space="preserve">總覽頁設計</t>
        </is>
      </c>
      <c r="D20" s="5" t="inlineStr">
        <is>
          <t xml:space="preserve">格狀卡片版面，定義卡片必顯欄位</t>
        </is>
      </c>
      <c r="E20" s="5" t="inlineStr">
        <is>
          <t xml:space="preserve">知識庫總覽</t>
        </is>
      </c>
      <c r="F20" s="6" t="inlineStr">
        <is>
          <t xml:space="preserve">版面</t>
        </is>
      </c>
      <c r="G20" s="7"/>
      <c r="H20" s="7"/>
      <c r="I20" s="7"/>
      <c r="J20" s="7"/>
    </row>
    <row r="21">
      <c r="A21" s="6" t="inlineStr">
        <is>
          <t xml:space="preserve">3-4</t>
        </is>
      </c>
      <c r="B21" s="5" t="inlineStr">
        <is>
          <t xml:space="preserve">3 · 知識庫 RAG</t>
        </is>
      </c>
      <c r="C21" s="5" t="inlineStr">
        <is>
          <t xml:space="preserve">空狀態引導流程</t>
        </is>
      </c>
      <c r="D21" s="5" t="inlineStr">
        <is>
          <t xml:space="preserve">零知識庫時的三步驟引導設計＋預填範本卡</t>
        </is>
      </c>
      <c r="E21" s="5" t="inlineStr">
        <is>
          <t xml:space="preserve">空狀態引導</t>
        </is>
      </c>
      <c r="F21" s="6" t="inlineStr">
        <is>
          <t xml:space="preserve">流程</t>
        </is>
      </c>
      <c r="G21" s="7"/>
      <c r="H21" s="7"/>
      <c r="I21" s="7"/>
      <c r="J21" s="7"/>
    </row>
    <row r="22">
      <c r="A22" s="6" t="inlineStr">
        <is>
          <t xml:space="preserve">3-5</t>
        </is>
      </c>
      <c r="B22" s="5" t="inlineStr">
        <is>
          <t xml:space="preserve">3 · 知識庫 RAG</t>
        </is>
      </c>
      <c r="C22" s="5" t="inlineStr">
        <is>
          <t xml:space="preserve">詞彙系統定義</t>
        </is>
      </c>
      <c r="D22" s="5" t="inlineStr">
        <is>
          <t xml:space="preserve">將原「向量化」拆分為 狀態／設定／動作 三套用語並全檔統一（含「切塊」改「分段」）</t>
        </is>
      </c>
      <c r="E22" s="5" t="inlineStr">
        <is>
          <t xml:space="preserve">全模組共用</t>
        </is>
      </c>
      <c r="F22" s="6" t="inlineStr">
        <is>
          <t xml:space="preserve">規範</t>
        </is>
      </c>
      <c r="G22" s="7"/>
      <c r="H22" s="7"/>
      <c r="I22" s="7"/>
      <c r="J22" s="7"/>
    </row>
    <row r="23">
      <c r="A23" s="6" t="inlineStr">
        <is>
          <t xml:space="preserve">3-6</t>
        </is>
      </c>
      <c r="B23" s="5" t="inlineStr">
        <is>
          <t xml:space="preserve">3 · 知識庫 RAG</t>
        </is>
      </c>
      <c r="C23" s="5" t="inlineStr">
        <is>
          <t xml:space="preserve">載入方式標籤設計</t>
        </is>
      </c>
      <c r="D23" s="5" t="inlineStr">
        <is>
          <t xml:space="preserve">兩種載入方式的標籤樣式與色系分工；「排除」改以獨立狀態 badge 表達的決策與樣式</t>
        </is>
      </c>
      <c r="E23" s="5" t="inlineStr">
        <is>
          <t xml:space="preserve">知識庫詳情／文件庫</t>
        </is>
      </c>
      <c r="F23" s="6" t="inlineStr">
        <is>
          <t xml:space="preserve">元件</t>
        </is>
      </c>
      <c r="G23" s="7"/>
      <c r="H23" s="7"/>
      <c r="I23" s="7"/>
      <c r="J23" s="7"/>
    </row>
    <row r="24">
      <c r="A24" s="6" t="inlineStr">
        <is>
          <t xml:space="preserve">3-7</t>
        </is>
      </c>
      <c r="B24" s="5" t="inlineStr">
        <is>
          <t xml:space="preserve">3 · 知識庫 RAG</t>
        </is>
      </c>
      <c r="C24" s="5" t="inlineStr">
        <is>
          <t xml:space="preserve">成本可視化設計</t>
        </is>
      </c>
      <c r="D24" s="5" t="inlineStr">
        <is>
          <t xml:space="preserve">全文載入的用量計量條設計與擺放位置（決策當下可見）</t>
        </is>
      </c>
      <c r="E24" s="5" t="inlineStr">
        <is>
          <t xml:space="preserve">知識庫詳情</t>
        </is>
      </c>
      <c r="F24" s="6" t="inlineStr">
        <is>
          <t xml:space="preserve">元件</t>
        </is>
      </c>
      <c r="G24" s="7"/>
      <c r="H24" s="7"/>
      <c r="I24" s="7"/>
      <c r="J24" s="7"/>
    </row>
    <row r="25">
      <c r="A25" s="6" t="inlineStr">
        <is>
          <t xml:space="preserve">3-8</t>
        </is>
      </c>
      <c r="B25" s="5" t="inlineStr">
        <is>
          <t xml:space="preserve">3 · 知識庫 RAG</t>
        </is>
      </c>
      <c r="C25" s="5" t="inlineStr">
        <is>
          <t xml:space="preserve">文件卡設計</t>
        </is>
      </c>
      <c r="D25" s="5" t="inlineStr">
        <is>
          <t xml:space="preserve">文件卡版面、三顆固定操作的分工定義、其他操作選單項目、AI 檔案說明欄位</t>
        </is>
      </c>
      <c r="E25" s="5" t="inlineStr">
        <is>
          <t xml:space="preserve">文件庫管理</t>
        </is>
      </c>
      <c r="F25" s="6" t="inlineStr">
        <is>
          <t xml:space="preserve">元件</t>
        </is>
      </c>
      <c r="G25" s="7"/>
      <c r="H25" s="7"/>
      <c r="I25" s="7"/>
      <c r="J25" s="7"/>
    </row>
    <row r="26">
      <c r="A26" s="6" t="inlineStr">
        <is>
          <t xml:space="preserve">3-9</t>
        </is>
      </c>
      <c r="B26" s="5" t="inlineStr">
        <is>
          <t xml:space="preserve">3 · 知識庫 RAG</t>
        </is>
      </c>
      <c r="C26" s="5" t="inlineStr">
        <is>
          <t xml:space="preserve">檔案生命週期流程</t>
        </is>
      </c>
      <c r="D26" s="5" t="inlineStr">
        <is>
          <t xml:space="preserve">待處理 → 處理中 → 就緒／解析失敗 各階段的畫面與狀態設計</t>
        </is>
      </c>
      <c r="E26" s="5" t="inlineStr">
        <is>
          <t xml:space="preserve">檔案生命週期</t>
        </is>
      </c>
      <c r="F26" s="6" t="inlineStr">
        <is>
          <t xml:space="preserve">流程</t>
        </is>
      </c>
      <c r="G26" s="7"/>
      <c r="H26" s="7"/>
      <c r="I26" s="7"/>
      <c r="J26" s="7"/>
    </row>
    <row r="27">
      <c r="A27" s="6" t="inlineStr">
        <is>
          <t xml:space="preserve">3-10</t>
        </is>
      </c>
      <c r="B27" s="5" t="inlineStr">
        <is>
          <t xml:space="preserve">3 · 知識庫 RAG</t>
        </is>
      </c>
      <c r="C27" s="5" t="inlineStr">
        <is>
          <t xml:space="preserve">檢索測試介面</t>
        </is>
      </c>
      <c r="D27" s="5" t="inlineStr">
        <is>
          <t xml:space="preserve">查詢輸入與命中結果卡設計（片段／相似度／來源）＋命中品質回饋列</t>
        </is>
      </c>
      <c r="E27" s="5" t="inlineStr">
        <is>
          <t xml:space="preserve">檢索測試</t>
        </is>
      </c>
      <c r="F27" s="6" t="inlineStr">
        <is>
          <t xml:space="preserve">版面</t>
        </is>
      </c>
      <c r="G27" s="7"/>
      <c r="H27" s="7"/>
      <c r="I27" s="7"/>
      <c r="J27" s="7"/>
    </row>
    <row r="28">
      <c r="A28" s="6" t="inlineStr">
        <is>
          <t xml:space="preserve">3-11</t>
        </is>
      </c>
      <c r="B28" s="5" t="inlineStr">
        <is>
          <t xml:space="preserve">3 · 知識庫 RAG</t>
        </is>
      </c>
      <c r="C28" s="5" t="inlineStr">
        <is>
          <t xml:space="preserve">變更與版本流程</t>
        </is>
      </c>
      <c r="D28" s="5" t="inlineStr">
        <is>
          <t xml:space="preserve">變更標記三型樣式、發布前差異清單設計、版本紀錄與回滾流程</t>
        </is>
      </c>
      <c r="E28" s="5" t="inlineStr">
        <is>
          <t xml:space="preserve">發布與版本紀錄</t>
        </is>
      </c>
      <c r="F28" s="6" t="inlineStr">
        <is>
          <t xml:space="preserve">流程</t>
        </is>
      </c>
      <c r="G28" s="7"/>
      <c r="H28" s="7"/>
      <c r="I28" s="7"/>
      <c r="J28" s="7"/>
    </row>
    <row r="29">
      <c r="A29" s="6" t="inlineStr">
        <is>
          <t xml:space="preserve">3-12</t>
        </is>
      </c>
      <c r="B29" s="5" t="inlineStr">
        <is>
          <t xml:space="preserve">3 · 知識庫 RAG</t>
        </is>
      </c>
      <c r="C29" s="5" t="inlineStr">
        <is>
          <t xml:space="preserve">對話框與抽屜</t>
        </is>
      </c>
      <c r="D29" s="5" t="inlineStr">
        <is>
          <t xml:space="preserve">新增／停用／刪除知識庫對話框、知識庫與檔案兩組操作選單、檔案預覽抽屜、版本紀錄抽屜</t>
        </is>
      </c>
      <c r="E29" s="5" t="inlineStr">
        <is>
          <t xml:space="preserve">知識庫全模組</t>
        </is>
      </c>
      <c r="F29" s="6" t="inlineStr">
        <is>
          <t xml:space="preserve">元件</t>
        </is>
      </c>
      <c r="G29" s="7"/>
      <c r="H29" s="7"/>
      <c r="I29" s="7"/>
      <c r="J29" s="7"/>
    </row>
    <row r="30">
      <c r="A30" s="6" t="inlineStr">
        <is>
          <t xml:space="preserve">4-1</t>
        </is>
      </c>
      <c r="B30" s="5" t="inlineStr">
        <is>
          <t xml:space="preserve">4 · 監控 Dashboard</t>
        </is>
      </c>
      <c r="C30" s="5" t="inlineStr">
        <is>
          <t xml:space="preserve">監控頁架構設計</t>
        </is>
      </c>
      <c r="D30" s="5" t="inlineStr">
        <is>
          <t xml:space="preserve">對照已上線但未設計過的 Grafana／Prometheus 頁面，重新設計為側欄清單＋單一 Dashboard 詳情；資料源管理收為次視圖；並界定與未來機房總覽的範圍分工</t>
        </is>
      </c>
      <c r="E30" s="5" t="inlineStr">
        <is>
          <t xml:space="preserve">Dashboard 詳情</t>
        </is>
      </c>
      <c r="F30" s="6" t="inlineStr">
        <is>
          <t xml:space="preserve">架構</t>
        </is>
      </c>
      <c r="G30" s="7"/>
      <c r="H30" s="7"/>
      <c r="I30" s="7"/>
      <c r="J30" s="7"/>
    </row>
    <row r="31">
      <c r="A31" s="6" t="inlineStr">
        <is>
          <t xml:space="preserve">4-2</t>
        </is>
      </c>
      <c r="B31" s="5" t="inlineStr">
        <is>
          <t xml:space="preserve">4 · 監控 Dashboard</t>
        </is>
      </c>
      <c r="C31" s="5" t="inlineStr">
        <is>
          <t xml:space="preserve">側欄清單設計</t>
        </is>
      </c>
      <c r="D31" s="5" t="inlineStr">
        <is>
          <t xml:space="preserve">Dashboard 項目四態設計（含資料源離線態的圖示語意）＋新增按鈕＋資料源管理連結</t>
        </is>
      </c>
      <c r="E31" s="5" t="inlineStr">
        <is>
          <t xml:space="preserve">Dashboard 詳情</t>
        </is>
      </c>
      <c r="F31" s="6" t="inlineStr">
        <is>
          <t xml:space="preserve">元件</t>
        </is>
      </c>
      <c r="G31" s="7"/>
      <c r="H31" s="7"/>
      <c r="I31" s="7"/>
      <c r="J31" s="7"/>
    </row>
    <row r="32">
      <c r="A32" s="6" t="inlineStr">
        <is>
          <t xml:space="preserve">4-3</t>
        </is>
      </c>
      <c r="B32" s="5" t="inlineStr">
        <is>
          <t xml:space="preserve">4 · 監控 Dashboard</t>
        </is>
      </c>
      <c r="C32" s="5" t="inlineStr">
        <is>
          <t xml:space="preserve">標題列設計</t>
        </is>
      </c>
      <c r="D32" s="5" t="inlineStr">
        <is>
          <t xml:space="preserve">名稱、公開徽章、改名、超標面板摘要、更新時間、時間範圍／時區／自動刷新、重新整理與操作選單的排列</t>
        </is>
      </c>
      <c r="E32" s="5" t="inlineStr">
        <is>
          <t xml:space="preserve">Dashboard 詳情</t>
        </is>
      </c>
      <c r="F32" s="6" t="inlineStr">
        <is>
          <t xml:space="preserve">版面</t>
        </is>
      </c>
      <c r="G32" s="7"/>
      <c r="H32" s="7"/>
      <c r="I32" s="7"/>
      <c r="J32" s="7"/>
    </row>
    <row r="33">
      <c r="A33" s="6" t="inlineStr">
        <is>
          <t xml:space="preserve">4-4</t>
        </is>
      </c>
      <c r="B33" s="5" t="inlineStr">
        <is>
          <t xml:space="preserve">4 · 監控 Dashboard</t>
        </is>
      </c>
      <c r="C33" s="5" t="inlineStr">
        <is>
          <t xml:space="preserve">統計卡設計</t>
        </is>
      </c>
      <c r="D33" s="5" t="inlineStr">
        <is>
          <t xml:space="preserve">三級告警樣式（正常／警告／危險），定義超標時的變色規則與門檻值文字備援</t>
        </is>
      </c>
      <c r="E33" s="5" t="inlineStr">
        <is>
          <t xml:space="preserve">Dashboard 詳情</t>
        </is>
      </c>
      <c r="F33" s="6" t="inlineStr">
        <is>
          <t xml:space="preserve">元件</t>
        </is>
      </c>
      <c r="G33" s="7"/>
      <c r="H33" s="7"/>
      <c r="I33" s="7"/>
      <c r="J33" s="7"/>
    </row>
    <row r="34">
      <c r="A34" s="6" t="inlineStr">
        <is>
          <t xml:space="preserve">4-5</t>
        </is>
      </c>
      <c r="B34" s="5" t="inlineStr">
        <is>
          <t xml:space="preserve">4 · 監控 Dashboard</t>
        </is>
      </c>
      <c r="C34" s="5" t="inlineStr">
        <is>
          <t xml:space="preserve">圖表面板設計</t>
        </is>
      </c>
      <c r="D34" s="5" t="inlineStr">
        <is>
          <t xml:space="preserve">面板卡版面（標題／圖表／座標軸／圖例）＋四種狀態設計：正常、此範圍無資料、類型不支援（保留原始查詢）、查詢中骨架；並定義「面板層級無資料」與「資料源離線」的呈現分工</t>
        </is>
      </c>
      <c r="E34" s="5" t="inlineStr">
        <is>
          <t xml:space="preserve">Dashboard 詳情</t>
        </is>
      </c>
      <c r="F34" s="6" t="inlineStr">
        <is>
          <t xml:space="preserve">元件</t>
        </is>
      </c>
      <c r="G34" s="7"/>
      <c r="H34" s="7"/>
      <c r="I34" s="7"/>
      <c r="J34" s="7"/>
    </row>
    <row r="35">
      <c r="A35" s="6" t="inlineStr">
        <is>
          <t xml:space="preserve">4-6</t>
        </is>
      </c>
      <c r="B35" s="5" t="inlineStr">
        <is>
          <t xml:space="preserve">4 · 監控 Dashboard</t>
        </is>
      </c>
      <c r="C35" s="5" t="inlineStr">
        <is>
          <t xml:space="preserve">面板操作設計</t>
        </is>
      </c>
      <c r="D35" s="5" t="inlineStr">
        <is>
          <t xml:space="preserve">常駐追問圖示與操作選單的分工規則（避免同一動作出現兩個入口），兩層選單項目定義</t>
        </is>
      </c>
      <c r="E35" s="5" t="inlineStr">
        <is>
          <t xml:space="preserve">Dashboard 詳情</t>
        </is>
      </c>
      <c r="F35" s="6" t="inlineStr">
        <is>
          <t xml:space="preserve">互動</t>
        </is>
      </c>
      <c r="G35" s="7"/>
      <c r="H35" s="7"/>
      <c r="I35" s="7"/>
      <c r="J35" s="7"/>
    </row>
    <row r="36">
      <c r="A36" s="6" t="inlineStr">
        <is>
          <t xml:space="preserve">4-7</t>
        </is>
      </c>
      <c r="B36" s="5" t="inlineStr">
        <is>
          <t xml:space="preserve">4 · 監控 Dashboard</t>
        </is>
      </c>
      <c r="C36" s="5" t="inlineStr">
        <is>
          <t xml:space="preserve">新增面板流程</t>
        </is>
      </c>
      <c r="D36" s="5" t="inlineStr">
        <is>
          <t xml:space="preserve">兩個入口設計（網格虛線佔位、操作選單）；自訂圖表與貼上 JSON 兩條輸入方式以分段控制切換、共用同一份即時預覽的流程設計；含查詢驗證的行內回饋三態</t>
        </is>
      </c>
      <c r="E36" s="5" t="inlineStr">
        <is>
          <t xml:space="preserve">新增面板對話框 ×3</t>
        </is>
      </c>
      <c r="F36" s="6" t="inlineStr">
        <is>
          <t xml:space="preserve">流程</t>
        </is>
      </c>
      <c r="G36" s="7"/>
      <c r="H36" s="7"/>
      <c r="I36" s="7"/>
      <c r="J36" s="7"/>
    </row>
    <row r="37">
      <c r="A37" s="6" t="inlineStr">
        <is>
          <t xml:space="preserve">4-8</t>
        </is>
      </c>
      <c r="B37" s="5" t="inlineStr">
        <is>
          <t xml:space="preserve">4 · 監控 Dashboard</t>
        </is>
      </c>
      <c r="C37" s="5" t="inlineStr">
        <is>
          <t xml:space="preserve">圖表樣式設定</t>
        </is>
      </c>
      <c r="D37" s="5" t="inlineStr">
        <is>
          <t xml:space="preserve">色盤選擇（三套＋自訂 hex）、格線、圖例位置的設定介面；定義閾值色不納入樣式設定的分界</t>
        </is>
      </c>
      <c r="E37" s="5" t="inlineStr">
        <is>
          <t xml:space="preserve">圖表樣式對話框</t>
        </is>
      </c>
      <c r="F37" s="6" t="inlineStr">
        <is>
          <t xml:space="preserve">流程</t>
        </is>
      </c>
      <c r="G37" s="7"/>
      <c r="H37" s="7"/>
      <c r="I37" s="7"/>
      <c r="J37" s="7"/>
    </row>
    <row r="38">
      <c r="A38" s="6" t="inlineStr">
        <is>
          <t xml:space="preserve">4-9</t>
        </is>
      </c>
      <c r="B38" s="5" t="inlineStr">
        <is>
          <t xml:space="preserve">4 · 監控 Dashboard</t>
        </is>
      </c>
      <c r="C38" s="5" t="inlineStr">
        <is>
          <t xml:space="preserve">建立 Dashboard 流程</t>
        </is>
      </c>
      <c r="D38" s="5" t="inlineStr">
        <is>
          <t xml:space="preserve">三條路徑（範本／Grafana JSON／AI Prompt 生成）以分段控制整合、共用欄位與建立摘要；JSON 貼上後的就地解析摘要設計；無可用資料源時的守門狀態與引導</t>
        </is>
      </c>
      <c r="E38" s="5" t="inlineStr">
        <is>
          <t xml:space="preserve">新增 Dashboard 對話框 ×2</t>
        </is>
      </c>
      <c r="F38" s="6" t="inlineStr">
        <is>
          <t xml:space="preserve">流程</t>
        </is>
      </c>
      <c r="G38" s="7"/>
      <c r="H38" s="7"/>
      <c r="I38" s="7"/>
      <c r="J38" s="7"/>
    </row>
    <row r="39">
      <c r="A39" s="6" t="inlineStr">
        <is>
          <t xml:space="preserve">4-10</t>
        </is>
      </c>
      <c r="B39" s="5" t="inlineStr">
        <is>
          <t xml:space="preserve">4 · 監控 Dashboard</t>
        </is>
      </c>
      <c r="C39" s="5" t="inlineStr">
        <is>
          <t xml:space="preserve">資料源管理設計</t>
        </is>
      </c>
      <c r="D39" s="5" t="inlineStr">
        <is>
          <t xml:space="preserve">資料源清單卡＋新增資料源對話框（連線測試與驗證結果三態、進階設定摺疊、預設資料源設定）</t>
        </is>
      </c>
      <c r="E39" s="5" t="inlineStr">
        <is>
          <t xml:space="preserve">資料源管理</t>
        </is>
      </c>
      <c r="F39" s="6" t="inlineStr">
        <is>
          <t xml:space="preserve">版面</t>
        </is>
      </c>
      <c r="G39" s="7"/>
      <c r="H39" s="7"/>
      <c r="I39" s="7"/>
      <c r="J39" s="7"/>
    </row>
    <row r="40">
      <c r="A40" s="6" t="inlineStr">
        <is>
          <t xml:space="preserve">4-11</t>
        </is>
      </c>
      <c r="B40" s="5" t="inlineStr">
        <is>
          <t xml:space="preserve">4 · 監控 Dashboard</t>
        </is>
      </c>
      <c r="C40" s="5" t="inlineStr">
        <is>
          <t xml:space="preserve">破壞性操作設計</t>
        </is>
      </c>
      <c r="D40" s="5" t="inlineStr">
        <is>
          <t xml:space="preserve">刪除 Dashboard 與刪除資料源的確認層級分級，及影響範圍的告知方式</t>
        </is>
      </c>
      <c r="E40" s="5" t="inlineStr">
        <is>
          <t xml:space="preserve">刪除對話框 ×2</t>
        </is>
      </c>
      <c r="F40" s="6" t="inlineStr">
        <is>
          <t xml:space="preserve">規範</t>
        </is>
      </c>
      <c r="G40" s="7"/>
      <c r="H40" s="7"/>
      <c r="I40" s="7"/>
      <c r="J40" s="7"/>
    </row>
    <row r="41">
      <c r="A41" s="6" t="inlineStr">
        <is>
          <t xml:space="preserve">4-12</t>
        </is>
      </c>
      <c r="B41" s="5" t="inlineStr">
        <is>
          <t xml:space="preserve">4 · 監控 Dashboard</t>
        </is>
      </c>
      <c r="C41" s="5" t="inlineStr">
        <is>
          <t xml:space="preserve">Grafana 匯入視覺規範</t>
        </is>
      </c>
      <c r="D41" s="5" t="inlineStr">
        <is>
          <t xml:space="preserve">定義「語意取自客戶 JSON、視覺一律套 SDAS 樣式」的分工，含閾值色例外與不支援面板顯性佔位規則</t>
        </is>
      </c>
      <c r="E41" s="5" t="inlineStr">
        <is>
          <t xml:space="preserve">Dashboard 詳情</t>
        </is>
      </c>
      <c r="F41" s="6" t="inlineStr">
        <is>
          <t xml:space="preserve">規範</t>
        </is>
      </c>
      <c r="G41" s="7"/>
      <c r="H41" s="7"/>
      <c r="I41" s="7"/>
      <c r="J41" s="7"/>
    </row>
    <row r="42">
      <c r="A42" s="6" t="inlineStr">
        <is>
          <t xml:space="preserve">5-1</t>
        </is>
      </c>
      <c r="B42" s="5" t="inlineStr">
        <is>
          <t xml:space="preserve">5 · 排程與報告</t>
        </is>
      </c>
      <c r="C42" s="5" t="inlineStr">
        <is>
          <t xml:space="preserve">模組架構收斂</t>
        </is>
      </c>
      <c r="D42" s="5" t="inlineStr">
        <is>
          <t xml:space="preserve">原四個視圖盤點後收斂為 排程／報告 兩格，並提出收斂理由與取捨</t>
        </is>
      </c>
      <c r="E42" s="5" t="inlineStr">
        <is>
          <t xml:space="preserve">排程／報告</t>
        </is>
      </c>
      <c r="F42" s="6" t="inlineStr">
        <is>
          <t xml:space="preserve">架構</t>
        </is>
      </c>
      <c r="G42" s="7"/>
      <c r="H42" s="7"/>
      <c r="I42" s="7"/>
      <c r="J42" s="7"/>
    </row>
    <row r="43">
      <c r="A43" s="6" t="inlineStr">
        <is>
          <t xml:space="preserve">5-2</t>
        </is>
      </c>
      <c r="B43" s="5" t="inlineStr">
        <is>
          <t xml:space="preserve">5 · 排程與報告</t>
        </is>
      </c>
      <c r="C43" s="5" t="inlineStr">
        <is>
          <t xml:space="preserve">計劃列設計</t>
        </is>
      </c>
      <c r="D43" s="5" t="inlineStr">
        <is>
          <t xml:space="preserve">一列同時呈現排程設定與其產出的版面（白話排程、cron chip、上次／下次執行、失敗原因、最新報告、開關、操作選單）；未排程草稿併入同一清單的呈現方式</t>
        </is>
      </c>
      <c r="E43" s="5" t="inlineStr">
        <is>
          <t xml:space="preserve">排程（計劃列表）</t>
        </is>
      </c>
      <c r="F43" s="6" t="inlineStr">
        <is>
          <t xml:space="preserve">元件</t>
        </is>
      </c>
      <c r="G43" s="7"/>
      <c r="H43" s="7"/>
      <c r="I43" s="7"/>
      <c r="J43" s="7"/>
    </row>
    <row r="44">
      <c r="A44" s="6" t="inlineStr">
        <is>
          <t xml:space="preserve">5-3</t>
        </is>
      </c>
      <c r="B44" s="5" t="inlineStr">
        <is>
          <t xml:space="preserve">5 · 排程與報告</t>
        </is>
      </c>
      <c r="C44" s="5" t="inlineStr">
        <is>
          <t xml:space="preserve">提示詞可視化</t>
        </is>
      </c>
      <c r="D44" s="5" t="inlineStr">
        <is>
          <t xml:space="preserve">將執行提示詞常駐於計劃列的版面設計與理由</t>
        </is>
      </c>
      <c r="E44" s="5" t="inlineStr">
        <is>
          <t xml:space="preserve">排程（計劃列表）</t>
        </is>
      </c>
      <c r="F44" s="6" t="inlineStr">
        <is>
          <t xml:space="preserve">版面</t>
        </is>
      </c>
      <c r="G44" s="7"/>
      <c r="H44" s="7"/>
      <c r="I44" s="7"/>
      <c r="J44" s="7"/>
    </row>
    <row r="45">
      <c r="A45" s="6" t="inlineStr">
        <is>
          <t xml:space="preserve">5-4</t>
        </is>
      </c>
      <c r="B45" s="5" t="inlineStr">
        <is>
          <t xml:space="preserve">5 · 排程與報告</t>
        </is>
      </c>
      <c r="C45" s="5" t="inlineStr">
        <is>
          <t xml:space="preserve">排程設定介面</t>
        </is>
      </c>
      <c r="D45" s="5" t="inlineStr">
        <is>
          <t xml:space="preserve">簡易設定／Cron 表達式 兩種輸入方式的切換設計，欄位隨頻率變動的規則，以及共用同一份「白話翻譯＋接下來三次執行」預覽的設計</t>
        </is>
      </c>
      <c r="E45" s="5" t="inlineStr">
        <is>
          <t xml:space="preserve">新增計劃對話框</t>
        </is>
      </c>
      <c r="F45" s="6" t="inlineStr">
        <is>
          <t xml:space="preserve">流程</t>
        </is>
      </c>
      <c r="G45" s="7"/>
      <c r="H45" s="7"/>
      <c r="I45" s="7"/>
      <c r="J45" s="7"/>
    </row>
    <row r="46">
      <c r="A46" s="6" t="inlineStr">
        <is>
          <t xml:space="preserve">5-5</t>
        </is>
      </c>
      <c r="B46" s="5" t="inlineStr">
        <is>
          <t xml:space="preserve">5 · 排程與報告</t>
        </is>
      </c>
      <c r="C46" s="5" t="inlineStr">
        <is>
          <t xml:space="preserve">報告清單設計</t>
        </is>
      </c>
      <c r="D46" s="5" t="inlineStr">
        <is>
          <t xml:space="preserve">搜尋與三組篩選、分批載入取代分頁；失敗執行仍保留一列的呈現規則與可用動作差異</t>
        </is>
      </c>
      <c r="E46" s="5" t="inlineStr">
        <is>
          <t xml:space="preserve">報告清單</t>
        </is>
      </c>
      <c r="F46" s="6" t="inlineStr">
        <is>
          <t xml:space="preserve">版面</t>
        </is>
      </c>
      <c r="G46" s="7"/>
      <c r="H46" s="7"/>
      <c r="I46" s="7"/>
      <c r="J46" s="7"/>
    </row>
    <row r="47">
      <c r="A47" s="6" t="inlineStr">
        <is>
          <t xml:space="preserve">5-6</t>
        </is>
      </c>
      <c r="B47" s="5" t="inlineStr">
        <is>
          <t xml:space="preserve">5 · 排程與報告</t>
        </is>
      </c>
      <c r="C47" s="5" t="inlineStr">
        <is>
          <t xml:space="preserve">報告檢視設計</t>
        </is>
      </c>
      <c r="D47" s="5" t="inlineStr">
        <is>
          <t xml:space="preserve">報告本文以既有 Markdown 區塊渲染的版面、出處引用、右上動作區</t>
        </is>
      </c>
      <c r="E47" s="5" t="inlineStr">
        <is>
          <t xml:space="preserve">報告檢視</t>
        </is>
      </c>
      <c r="F47" s="6" t="inlineStr">
        <is>
          <t xml:space="preserve">版面</t>
        </is>
      </c>
      <c r="G47" s="7"/>
      <c r="H47" s="7"/>
      <c r="I47" s="7"/>
      <c r="J47" s="7"/>
    </row>
    <row r="48">
      <c r="A48" s="6" t="inlineStr">
        <is>
          <t xml:space="preserve">5-7</t>
        </is>
      </c>
      <c r="B48" s="5" t="inlineStr">
        <is>
          <t xml:space="preserve">5 · 排程與報告</t>
        </is>
      </c>
      <c r="C48" s="5" t="inlineStr">
        <is>
          <t xml:space="preserve">對話框</t>
        </is>
      </c>
      <c r="D48" s="5" t="inlineStr">
        <is>
          <t xml:space="preserve">新增計劃（Cron 即時翻白話與三次執行預告）、停用、刪除三個對話框</t>
        </is>
      </c>
      <c r="E48" s="5" t="inlineStr">
        <is>
          <t xml:space="preserve">對話框 ×3</t>
        </is>
      </c>
      <c r="F48" s="6" t="inlineStr">
        <is>
          <t xml:space="preserve">元件</t>
        </is>
      </c>
      <c r="G48" s="7"/>
      <c r="H48" s="7"/>
      <c r="I48" s="7"/>
      <c r="J48" s="7"/>
    </row>
    <row r="49">
      <c r="A49" s="6" t="inlineStr">
        <is>
          <t xml:space="preserve">6-1</t>
        </is>
      </c>
      <c r="B49" s="5" t="inlineStr">
        <is>
          <t xml:space="preserve">6 · 設定</t>
        </is>
      </c>
      <c r="C49" s="5" t="inlineStr">
        <is>
          <t xml:space="preserve">模組架構收斂</t>
        </is>
      </c>
      <c r="D49" s="5" t="inlineStr">
        <is>
          <t xml:space="preserve">原三頁（管理員／Credentials／APIs）整併為單一設定頁，側欄分 組織／整合 兩組</t>
        </is>
      </c>
      <c r="E49" s="5" t="inlineStr">
        <is>
          <t xml:space="preserve">設定全模組</t>
        </is>
      </c>
      <c r="F49" s="6" t="inlineStr">
        <is>
          <t xml:space="preserve">架構</t>
        </is>
      </c>
      <c r="G49" s="7"/>
      <c r="H49" s="7"/>
      <c r="I49" s="7"/>
      <c r="J49" s="7"/>
    </row>
    <row r="50">
      <c r="A50" s="6" t="inlineStr">
        <is>
          <t xml:space="preserve">6-2</t>
        </is>
      </c>
      <c r="B50" s="5" t="inlineStr">
        <is>
          <t xml:space="preserve">6 · 設定</t>
        </is>
      </c>
      <c r="C50" s="5" t="inlineStr">
        <is>
          <t xml:space="preserve">組織清單設計</t>
        </is>
      </c>
      <c r="D50" s="5" t="inlineStr">
        <is>
          <t xml:space="preserve">清單列版面（三組計數＋更新時間＋下鑽指示）與新增入口</t>
        </is>
      </c>
      <c r="E50" s="5" t="inlineStr">
        <is>
          <t xml:space="preserve">組織管理清單</t>
        </is>
      </c>
      <c r="F50" s="6" t="inlineStr">
        <is>
          <t xml:space="preserve">版面</t>
        </is>
      </c>
      <c r="G50" s="7"/>
      <c r="H50" s="7"/>
      <c r="I50" s="7"/>
      <c r="J50" s="7"/>
    </row>
    <row r="51">
      <c r="A51" s="6" t="inlineStr">
        <is>
          <t xml:space="preserve">6-3</t>
        </is>
      </c>
      <c r="B51" s="5" t="inlineStr">
        <is>
          <t xml:space="preserve">6 · 設定</t>
        </is>
      </c>
      <c r="C51" s="5" t="inlineStr">
        <is>
          <t xml:space="preserve">群組管理下鑽流程</t>
        </is>
      </c>
      <c r="D51" s="5" t="inlineStr">
        <is>
          <t xml:space="preserve">群組不獨立成頁、改為組織詳情下鑽的流程決策與版面（成員卡＋群組卡）</t>
        </is>
      </c>
      <c r="E51" s="5" t="inlineStr">
        <is>
          <t xml:space="preserve">組織詳情</t>
        </is>
      </c>
      <c r="F51" s="6" t="inlineStr">
        <is>
          <t xml:space="preserve">流程</t>
        </is>
      </c>
      <c r="G51" s="7"/>
      <c r="H51" s="7"/>
      <c r="I51" s="7"/>
      <c r="J51" s="7"/>
    </row>
    <row r="52">
      <c r="A52" s="6" t="inlineStr">
        <is>
          <t xml:space="preserve">6-4</t>
        </is>
      </c>
      <c r="B52" s="5" t="inlineStr">
        <is>
          <t xml:space="preserve">6 · 設定</t>
        </is>
      </c>
      <c r="C52" s="5" t="inlineStr">
        <is>
          <t xml:space="preserve">加入成員流程</t>
        </is>
      </c>
      <c r="D52" s="5" t="inlineStr">
        <is>
          <t xml:space="preserve">搜尋既有帳號→勾選→加入的流程設計，含已在組織者的呈現與「不在此開帳號、不在此設角色」的邊界定義</t>
        </is>
      </c>
      <c r="E52" s="5" t="inlineStr">
        <is>
          <t xml:space="preserve">加入成員對話框</t>
        </is>
      </c>
      <c r="F52" s="6" t="inlineStr">
        <is>
          <t xml:space="preserve">流程</t>
        </is>
      </c>
      <c r="G52" s="7"/>
      <c r="H52" s="7"/>
      <c r="I52" s="7"/>
      <c r="J52" s="7"/>
    </row>
    <row r="53">
      <c r="A53" s="6" t="inlineStr">
        <is>
          <t xml:space="preserve">6-5</t>
        </is>
      </c>
      <c r="B53" s="5" t="inlineStr">
        <is>
          <t xml:space="preserve">6 · 設定</t>
        </is>
      </c>
      <c r="C53" s="5" t="inlineStr">
        <is>
          <t xml:space="preserve">使用者管理設計</t>
        </is>
      </c>
      <c r="D53" s="5" t="inlineStr">
        <is>
          <t xml:space="preserve">搜尋與角色篩選；受保護帳號與一般帳號的差異化樣式（唯讀徽章 vs 可切換欄位）</t>
        </is>
      </c>
      <c r="E53" s="5" t="inlineStr">
        <is>
          <t xml:space="preserve">使用者管理</t>
        </is>
      </c>
      <c r="F53" s="6" t="inlineStr">
        <is>
          <t xml:space="preserve">版面</t>
        </is>
      </c>
      <c r="G53" s="7"/>
      <c r="H53" s="7"/>
      <c r="I53" s="7"/>
      <c r="J53" s="7"/>
    </row>
    <row r="54">
      <c r="A54" s="6" t="inlineStr">
        <is>
          <t xml:space="preserve">6-6</t>
        </is>
      </c>
      <c r="B54" s="5" t="inlineStr">
        <is>
          <t xml:space="preserve">6 · 設定</t>
        </is>
      </c>
      <c r="C54" s="5" t="inlineStr">
        <is>
          <t xml:space="preserve">空狀態設計</t>
        </is>
      </c>
      <c r="D54" s="5" t="inlineStr">
        <is>
          <t xml:space="preserve">零組織時收起次要入口、只留單一主行動＋三步驟引導</t>
        </is>
      </c>
      <c r="E54" s="5" t="inlineStr">
        <is>
          <t xml:space="preserve">組織空狀態</t>
        </is>
      </c>
      <c r="F54" s="6" t="inlineStr">
        <is>
          <t xml:space="preserve">流程</t>
        </is>
      </c>
      <c r="G54" s="7"/>
      <c r="H54" s="7"/>
      <c r="I54" s="7"/>
      <c r="J54" s="7"/>
    </row>
    <row r="55">
      <c r="A55" s="6" t="inlineStr">
        <is>
          <t xml:space="preserve">6-7</t>
        </is>
      </c>
      <c r="B55" s="5" t="inlineStr">
        <is>
          <t xml:space="preserve">6 · 設定</t>
        </is>
      </c>
      <c r="C55" s="5" t="inlineStr">
        <is>
          <t xml:space="preserve">API 與整合頁設計</t>
        </is>
      </c>
      <c r="D55" s="5" t="inlineStr">
        <is>
          <t xml:space="preserve">API Key 建立與清單版面、使用說明與程式碼範例區塊、API 文件外連卡</t>
        </is>
      </c>
      <c r="E55" s="5" t="inlineStr">
        <is>
          <t xml:space="preserve">API 與整合</t>
        </is>
      </c>
      <c r="F55" s="6" t="inlineStr">
        <is>
          <t xml:space="preserve">版面</t>
        </is>
      </c>
      <c r="G55" s="7"/>
      <c r="H55" s="7"/>
      <c r="I55" s="7"/>
      <c r="J55" s="7"/>
    </row>
    <row r="56">
      <c r="A56" s="6" t="inlineStr">
        <is>
          <t xml:space="preserve">6-8</t>
        </is>
      </c>
      <c r="B56" s="5" t="inlineStr">
        <is>
          <t xml:space="preserve">6 · 設定</t>
        </is>
      </c>
      <c r="C56" s="5" t="inlineStr">
        <is>
          <t xml:space="preserve">對話框</t>
        </is>
      </c>
      <c r="D56" s="5" t="inlineStr">
        <is>
          <t xml:space="preserve">新增組織／群組／使用者、加入成員、刪除組織（含輸入名稱確認）五個對話框</t>
        </is>
      </c>
      <c r="E56" s="5" t="inlineStr">
        <is>
          <t xml:space="preserve">對話框 ×5</t>
        </is>
      </c>
      <c r="F56" s="6" t="inlineStr">
        <is>
          <t xml:space="preserve">元件</t>
        </is>
      </c>
      <c r="G56" s="7"/>
      <c r="H56" s="7"/>
      <c r="I56" s="7"/>
      <c r="J56" s="7"/>
    </row>
    <row r="57">
      <c r="A57" s="6" t="inlineStr">
        <is>
          <t xml:space="preserve">6-9</t>
        </is>
      </c>
      <c r="B57" s="5" t="inlineStr">
        <is>
          <t xml:space="preserve">6 · 設定</t>
        </is>
      </c>
      <c r="C57" s="5" t="inlineStr">
        <is>
          <t xml:space="preserve">帳號設定歸屬</t>
        </is>
      </c>
      <c r="D57" s="5" t="inlineStr">
        <is>
          <t xml:space="preserve">定義個人帳號類設定（更改密碼）移至使用者選單、不放設定頁</t>
        </is>
      </c>
      <c r="E57" s="5" t="inlineStr">
        <is>
          <t xml:space="preserve">全站共用</t>
        </is>
      </c>
      <c r="F57" s="6" t="inlineStr">
        <is>
          <t xml:space="preserve">規範</t>
        </is>
      </c>
      <c r="G57" s="7"/>
      <c r="H57" s="7"/>
      <c r="I57" s="7"/>
      <c r="J57" s="7"/>
    </row>
    <row r="58">
      <c r="A58" s="6" t="inlineStr">
        <is>
          <t xml:space="preserve">7-1</t>
        </is>
      </c>
      <c r="B58" s="5" t="inlineStr">
        <is>
          <t xml:space="preserve">7 · 手機版適配</t>
        </is>
      </c>
      <c r="C58" s="5" t="inlineStr">
        <is>
          <t xml:space="preserve">手機範圍界定</t>
        </is>
      </c>
      <c r="D58" s="5" t="inlineStr">
        <is>
          <t xml:space="preserve">盤點桌機功能後界定手機只保留「問」與「看結果」兩條路徑，並提出取捨理由</t>
        </is>
      </c>
      <c r="E58" s="5" t="inlineStr">
        <is>
          <t xml:space="preserve">手機全模組</t>
        </is>
      </c>
      <c r="F58" s="6" t="inlineStr">
        <is>
          <t xml:space="preserve">架構</t>
        </is>
      </c>
      <c r="G58" s="7"/>
      <c r="H58" s="7"/>
      <c r="I58" s="7"/>
      <c r="J58" s="7"/>
    </row>
    <row r="59">
      <c r="A59" s="6" t="inlineStr">
        <is>
          <t xml:space="preserve">7-2</t>
        </is>
      </c>
      <c r="B59" s="5" t="inlineStr">
        <is>
          <t xml:space="preserve">7 · 手機版適配</t>
        </is>
      </c>
      <c r="C59" s="5" t="inlineStr">
        <is>
          <t xml:space="preserve">導覽設計</t>
        </is>
      </c>
      <c r="D59" s="5" t="inlineStr">
        <is>
          <t xml:space="preserve">5 格導覽改為兩格底部 tab bar，定義各頁是否顯示 tab bar</t>
        </is>
      </c>
      <c r="E59" s="5" t="inlineStr">
        <is>
          <t xml:space="preserve">手機全模組</t>
        </is>
      </c>
      <c r="F59" s="6" t="inlineStr">
        <is>
          <t xml:space="preserve">架構</t>
        </is>
      </c>
      <c r="G59" s="7"/>
      <c r="H59" s="7"/>
      <c r="I59" s="7"/>
      <c r="J59" s="7"/>
    </row>
    <row r="60">
      <c r="A60" s="6" t="inlineStr">
        <is>
          <t xml:space="preserve">7-3</t>
        </is>
      </c>
      <c r="B60" s="5" t="inlineStr">
        <is>
          <t xml:space="preserve">7 · 手機版適配</t>
        </is>
      </c>
      <c r="C60" s="5" t="inlineStr">
        <is>
          <t xml:space="preserve">版面尺寸定義</t>
        </is>
      </c>
      <c r="D60" s="5" t="inlineStr">
        <is>
          <t xml:space="preserve">狀態列／標題列／內容區／輸入列／tab bar 各段固定高度與左右留白規範</t>
        </is>
      </c>
      <c r="E60" s="5" t="inlineStr">
        <is>
          <t xml:space="preserve">手機全模組</t>
        </is>
      </c>
      <c r="F60" s="6" t="inlineStr">
        <is>
          <t xml:space="preserve">規範</t>
        </is>
      </c>
      <c r="G60" s="7"/>
      <c r="H60" s="7"/>
      <c r="I60" s="7"/>
      <c r="J60" s="7"/>
    </row>
    <row r="61">
      <c r="A61" s="6" t="inlineStr">
        <is>
          <t xml:space="preserve">7-4</t>
        </is>
      </c>
      <c r="B61" s="5" t="inlineStr">
        <is>
          <t xml:space="preserve">7 · 手機版適配</t>
        </is>
      </c>
      <c r="C61" s="5" t="inlineStr">
        <is>
          <t xml:space="preserve">對話頁適配</t>
        </is>
      </c>
      <c r="D61" s="5" t="inlineStr">
        <is>
          <t xml:space="preserve">訊息由下往上堆疊的版面規則、回覆區塊寬度適配、生成中狀態適配</t>
        </is>
      </c>
      <c r="E61" s="5" t="inlineStr">
        <is>
          <t xml:space="preserve">手機 · 對話／生成中</t>
        </is>
      </c>
      <c r="F61" s="6" t="inlineStr">
        <is>
          <t xml:space="preserve">版面</t>
        </is>
      </c>
      <c r="G61" s="7"/>
      <c r="H61" s="7"/>
      <c r="I61" s="7"/>
      <c r="J61" s="7"/>
    </row>
    <row r="62">
      <c r="A62" s="6" t="inlineStr">
        <is>
          <t xml:space="preserve">7-5</t>
        </is>
      </c>
      <c r="B62" s="5" t="inlineStr">
        <is>
          <t xml:space="preserve">7 · 手機版適配</t>
        </is>
      </c>
      <c r="C62" s="5" t="inlineStr">
        <is>
          <t xml:space="preserve">長按選單設計</t>
        </is>
      </c>
      <c r="D62" s="5" t="inlineStr">
        <is>
          <t xml:space="preserve">遮罩＋底部 sheet 設計（圓角、拖曳把手、選項），取代桌機 hover 操作列的互動轉換</t>
        </is>
      </c>
      <c r="E62" s="5" t="inlineStr">
        <is>
          <t xml:space="preserve">手機 · 長按訊息選單</t>
        </is>
      </c>
      <c r="F62" s="6" t="inlineStr">
        <is>
          <t xml:space="preserve">互動</t>
        </is>
      </c>
      <c r="G62" s="7"/>
      <c r="H62" s="7"/>
      <c r="I62" s="7"/>
      <c r="J62" s="7"/>
    </row>
    <row r="63">
      <c r="A63" s="6" t="inlineStr">
        <is>
          <t xml:space="preserve">7-6</t>
        </is>
      </c>
      <c r="B63" s="5" t="inlineStr">
        <is>
          <t xml:space="preserve">7 · 手機版適配</t>
        </is>
      </c>
      <c r="C63" s="5" t="inlineStr">
        <is>
          <t xml:space="preserve">報告清單卡片化</t>
        </is>
      </c>
      <c r="D63" s="5" t="inlineStr">
        <is>
          <t xml:space="preserve">桌機表格改三行卡片的資訊取捨與版面，含整列點擊與操作選單分工</t>
        </is>
      </c>
      <c r="E63" s="5" t="inlineStr">
        <is>
          <t xml:space="preserve">手機 · 報告清單</t>
        </is>
      </c>
      <c r="F63" s="6" t="inlineStr">
        <is>
          <t xml:space="preserve">版面</t>
        </is>
      </c>
      <c r="G63" s="7"/>
      <c r="H63" s="7"/>
      <c r="I63" s="7"/>
      <c r="J63" s="7"/>
    </row>
    <row r="64">
      <c r="A64" s="6" t="inlineStr">
        <is>
          <t xml:space="preserve">7-7</t>
        </is>
      </c>
      <c r="B64" s="5" t="inlineStr">
        <is>
          <t xml:space="preserve">7 · 手機版適配</t>
        </is>
      </c>
      <c r="C64" s="5" t="inlineStr">
        <is>
          <t xml:space="preserve">篩選 chip 設計</t>
        </is>
      </c>
      <c r="D64" s="5" t="inlineStr">
        <is>
          <t xml:space="preserve">下拉改一排 chip 及套用狀態的高亮樣式</t>
        </is>
      </c>
      <c r="E64" s="5" t="inlineStr">
        <is>
          <t xml:space="preserve">手機 · 報告清單</t>
        </is>
      </c>
      <c r="F64" s="6" t="inlineStr">
        <is>
          <t xml:space="preserve">元件</t>
        </is>
      </c>
      <c r="G64" s="7"/>
      <c r="H64" s="7"/>
      <c r="I64" s="7"/>
      <c r="J64" s="7"/>
    </row>
    <row r="65">
      <c r="A65" s="6" t="inlineStr">
        <is>
          <t xml:space="preserve">7-8</t>
        </is>
      </c>
      <c r="B65" s="5" t="inlineStr">
        <is>
          <t xml:space="preserve">7 · 手機版適配</t>
        </is>
      </c>
      <c r="C65" s="5" t="inlineStr">
        <is>
          <t xml:space="preserve">底部固定動作列</t>
        </is>
      </c>
      <c r="D65" s="5" t="inlineStr">
        <is>
          <t xml:space="preserve">主要動作由右上移至底部固定列的版面設計</t>
        </is>
      </c>
      <c r="E65" s="5" t="inlineStr">
        <is>
          <t xml:space="preserve">手機 · 報告檢視</t>
        </is>
      </c>
      <c r="F65" s="6" t="inlineStr">
        <is>
          <t xml:space="preserve">版面</t>
        </is>
      </c>
      <c r="G65" s="7"/>
      <c r="H65" s="7"/>
      <c r="I65" s="7"/>
      <c r="J65" s="7"/>
    </row>
    <row r="66">
      <c r="A66" s="6" t="inlineStr">
        <is>
          <t xml:space="preserve">7-9</t>
        </is>
      </c>
      <c r="B66" s="5" t="inlineStr">
        <is>
          <t xml:space="preserve">7 · 手機版適配</t>
        </is>
      </c>
      <c r="C66" s="5" t="inlineStr">
        <is>
          <t xml:space="preserve">手機元件</t>
        </is>
      </c>
      <c r="D66" s="5" t="inlineStr">
        <is>
          <t xml:space="preserve">手機專用 Header、Status Bar、報告卡、篩選 chip、tab bar 五個元件</t>
        </is>
      </c>
      <c r="E66" s="5" t="inlineStr">
        <is>
          <t xml:space="preserve">手機全模組</t>
        </is>
      </c>
      <c r="F66" s="6" t="inlineStr">
        <is>
          <t xml:space="preserve">元件</t>
        </is>
      </c>
      <c r="G66" s="7"/>
      <c r="H66" s="7"/>
      <c r="I66" s="7"/>
      <c r="J66" s="7"/>
    </row>
    <row r="67">
      <c r="A67" s="6" t="inlineStr">
        <is>
          <t xml:space="preserve">8-1</t>
        </is>
      </c>
      <c r="B67" s="5" t="inlineStr">
        <is>
          <t xml:space="preserve">8 · 設計系統與元件庫</t>
        </is>
      </c>
      <c r="C67" s="5" t="inlineStr">
        <is>
          <t xml:space="preserve">色彩系統</t>
        </is>
      </c>
      <c r="D67" s="5" t="inlineStr">
        <is>
          <t xml:space="preserve">品牌色、介面色、狀態色與漸層的 token 定義（Icon Rail／Sidebar／Header／Page BG／Primary／Accent／Border／Ink／Muted／Warn／Code）</t>
        </is>
      </c>
      <c r="E67" s="5" t="inlineStr">
        <is>
          <t xml:space="preserve">0 · Design System</t>
        </is>
      </c>
      <c r="F67" s="6" t="inlineStr">
        <is>
          <t xml:space="preserve">規範</t>
        </is>
      </c>
      <c r="G67" s="7"/>
      <c r="H67" s="7"/>
      <c r="I67" s="7"/>
      <c r="J67" s="7"/>
    </row>
    <row r="68">
      <c r="A68" s="6" t="inlineStr">
        <is>
          <t xml:space="preserve">8-2</t>
        </is>
      </c>
      <c r="B68" s="5" t="inlineStr">
        <is>
          <t xml:space="preserve">8 · 設計系統與元件庫</t>
        </is>
      </c>
      <c r="C68" s="5" t="inlineStr">
        <is>
          <t xml:space="preserve">文字系統</t>
        </is>
      </c>
      <c r="D68" s="5" t="inlineStr">
        <is>
          <t xml:space="preserve">Inter 字型五級字階定義（Title／Section／Body／Label／Caption）與行高</t>
        </is>
      </c>
      <c r="E68" s="5" t="inlineStr">
        <is>
          <t xml:space="preserve">0 · Design System</t>
        </is>
      </c>
      <c r="F68" s="6" t="inlineStr">
        <is>
          <t xml:space="preserve">規範</t>
        </is>
      </c>
      <c r="G68" s="7"/>
      <c r="H68" s="7"/>
      <c r="I68" s="7"/>
      <c r="J68" s="7"/>
    </row>
    <row r="69">
      <c r="A69" s="6" t="inlineStr">
        <is>
          <t xml:space="preserve">8-3</t>
        </is>
      </c>
      <c r="B69" s="5" t="inlineStr">
        <is>
          <t xml:space="preserve">8 · 設計系統與元件庫</t>
        </is>
      </c>
      <c r="C69" s="5" t="inlineStr">
        <is>
          <t xml:space="preserve">版面規範</t>
        </is>
      </c>
      <c r="D69" s="5" t="inlineStr">
        <is>
          <t xml:space="preserve">圓角、卡片 padding 與邊框、對話框寬度與高度上限（超過改中間捲動）等共用規則</t>
        </is>
      </c>
      <c r="E69" s="5" t="inlineStr">
        <is>
          <t xml:space="preserve">0 · Design System</t>
        </is>
      </c>
      <c r="F69" s="6" t="inlineStr">
        <is>
          <t xml:space="preserve">規範</t>
        </is>
      </c>
      <c r="G69" s="7"/>
      <c r="H69" s="7"/>
      <c r="I69" s="7"/>
      <c r="J69" s="7"/>
    </row>
    <row r="70">
      <c r="A70" s="6" t="inlineStr">
        <is>
          <t xml:space="preserve">8-4</t>
        </is>
      </c>
      <c r="B70" s="5" t="inlineStr">
        <is>
          <t xml:space="preserve">8 · 設計系統與元件庫</t>
        </is>
      </c>
      <c r="C70" s="5" t="inlineStr">
        <is>
          <t xml:space="preserve">顏色語意分層規範</t>
        </is>
      </c>
      <c r="D70" s="5" t="inlineStr">
        <is>
          <t xml:space="preserve">定義設定／事實／變更／diff／中性資訊各自的表現形式，避免色彩語意互相佔用；並訂出「狀態色必須搭配文字」的無障礙規則</t>
        </is>
      </c>
      <c r="E70" s="5" t="inlineStr">
        <is>
          <t xml:space="preserve">0 · Design System</t>
        </is>
      </c>
      <c r="F70" s="6" t="inlineStr">
        <is>
          <t xml:space="preserve">規範</t>
        </is>
      </c>
      <c r="G70" s="7"/>
      <c r="H70" s="7"/>
      <c r="I70" s="7"/>
      <c r="J70" s="7"/>
    </row>
    <row r="71">
      <c r="A71" s="6" t="inlineStr">
        <is>
          <t xml:space="preserve">8-5</t>
        </is>
      </c>
      <c r="B71" s="5" t="inlineStr">
        <is>
          <t xml:space="preserve">8 · 設計系統與元件庫</t>
        </is>
      </c>
      <c r="C71" s="5" t="inlineStr">
        <is>
          <t xml:space="preserve">元件庫建置</t>
        </is>
      </c>
      <c r="D71" s="5" t="inlineStr">
        <is>
          <t xml:space="preserve">共 30+ 個 Figma Component（含 Variants 與布林屬性），明細見 04_元件清單</t>
        </is>
      </c>
      <c r="E71" s="5" t="inlineStr">
        <is>
          <t xml:space="preserve">🧩 Components</t>
        </is>
      </c>
      <c r="F71" s="6" t="inlineStr">
        <is>
          <t xml:space="preserve">元件</t>
        </is>
      </c>
      <c r="G71" s="7"/>
      <c r="H71" s="7"/>
      <c r="I71" s="7"/>
      <c r="J71" s="7"/>
    </row>
    <row r="72">
      <c r="A72" s="6" t="inlineStr">
        <is>
          <t xml:space="preserve">8-6</t>
        </is>
      </c>
      <c r="B72" s="5" t="inlineStr">
        <is>
          <t xml:space="preserve">8 · 設計系統與元件庫</t>
        </is>
      </c>
      <c r="C72" s="5" t="inlineStr">
        <is>
          <t xml:space="preserve">規格說明頁</t>
        </is>
      </c>
      <c r="D72" s="5" t="inlineStr">
        <is>
          <t xml:space="preserve">各模組的 SPEC 說明頁：真實 UI 零件＋編號圖釘＋文字說明，統一格式與字級</t>
        </is>
      </c>
      <c r="E72" s="5" t="inlineStr">
        <is>
          <t xml:space="preserve">SPEC 說明頁 ×5</t>
        </is>
      </c>
      <c r="F72" s="6" t="inlineStr">
        <is>
          <t xml:space="preserve">規範</t>
        </is>
      </c>
      <c r="G72" s="7"/>
      <c r="H72" s="7"/>
      <c r="I72" s="7"/>
      <c r="J72" s="7"/>
    </row>
  </sheetData>
  <autoFilter ref="A2:J72"/>
  <pageMargins left="0.5" right="0.5" top="0.5" bottom="0.5" header="0.3" footer="0.3"/>
</worksheet>
</file>

<file path=xl/worksheets/sheet3.xml><?xml version="1.0" encoding="utf-8"?>
<worksheet xmlns="http://schemas.openxmlformats.org/spreadsheetml/2006/main">
  <sheetViews>
    <sheetView workbookViewId="0">
      <pane xSplit="2" ySplit="2" topLeftCell="C3" activePane="bottomRight" state="frozen"/>
      <selection pane="bottomRight" activeCell="C3" sqref="C3"/>
    </sheetView>
  </sheetViews>
  <sheetFormatPr defaultRowHeight="14.5"/>
  <cols>
    <col min="1" max="1" width="6" customWidth="1"/>
    <col min="2" max="2" width="20" customWidth="1"/>
    <col min="3" max="3" width="32" customWidth="1"/>
    <col min="4" max="4" width="14" customWidth="1"/>
    <col min="5" max="5" width="60" customWidth="1"/>
    <col min="6" max="6" width="12" customWidth="1"/>
    <col min="7" max="7" width="16" customWidth="1"/>
  </cols>
  <sheetData>
    <row r="1" ht="22" customHeight="1">
      <c r="B1" s="1" t="inlineStr">
        <is>
          <t xml:space="preserve">實際產出畫面／對話框／說明頁清單</t>
        </is>
      </c>
    </row>
    <row r="2" ht="30" customHeight="1">
      <c r="A2" s="4" t="inlineStr">
        <is>
          <t xml:space="preserve">編號</t>
        </is>
      </c>
      <c r="B2" s="4" t="inlineStr">
        <is>
          <t xml:space="preserve">模組</t>
        </is>
      </c>
      <c r="C2" s="4" t="inlineStr">
        <is>
          <t xml:space="preserve">畫面／元素名稱</t>
        </is>
      </c>
      <c r="D2" s="4" t="inlineStr">
        <is>
          <t xml:space="preserve">類型</t>
        </is>
      </c>
      <c r="E2" s="4" t="inlineStr">
        <is>
          <t xml:space="preserve">說明</t>
        </is>
      </c>
      <c r="F2" s="4" t="inlineStr">
        <is>
          <t xml:space="preserve">裝置</t>
        </is>
      </c>
      <c r="G2" s="4" t="inlineStr">
        <is>
          <t xml:space="preserve">備註</t>
        </is>
      </c>
    </row>
    <row r="3">
      <c r="A3" s="6" t="inlineStr">
        <is>
          <t xml:space="preserve">S01</t>
        </is>
      </c>
      <c r="B3" s="5" t="inlineStr">
        <is>
          <t xml:space="preserve">2 · 對話 Chat</t>
        </is>
      </c>
      <c r="C3" s="5" t="inlineStr">
        <is>
          <t xml:space="preserve">對話 Chat（主畫面）</t>
        </is>
      </c>
      <c r="D3" s="6" t="inlineStr">
        <is>
          <t xml:space="preserve">主畫面</t>
        </is>
      </c>
      <c r="E3" s="5" t="inlineStr">
        <is>
          <t xml:space="preserve">訊息串、輸入區、歷史對話側欄、右側提問目錄</t>
        </is>
      </c>
      <c r="F3" s="6" t="inlineStr">
        <is>
          <t xml:space="preserve">桌機</t>
        </is>
      </c>
      <c r="G3" s="7"/>
    </row>
    <row r="4">
      <c r="A4" s="6" t="inlineStr">
        <is>
          <t xml:space="preserve">S02</t>
        </is>
      </c>
      <c r="B4" s="5" t="inlineStr">
        <is>
          <t xml:space="preserve">2 · 對話 Chat</t>
        </is>
      </c>
      <c r="C4" s="5" t="inlineStr">
        <is>
          <t xml:space="preserve">對話 · 生成中</t>
        </is>
      </c>
      <c r="D4" s="6" t="inlineStr">
        <is>
          <t xml:space="preserve">狀態畫面</t>
        </is>
      </c>
      <c r="E4" s="5" t="inlineStr">
        <is>
          <t xml:space="preserve">思考步驟展開、排隊訊息、Composer 生成中態</t>
        </is>
      </c>
      <c r="F4" s="6" t="inlineStr">
        <is>
          <t xml:space="preserve">桌機</t>
        </is>
      </c>
      <c r="G4" s="7"/>
    </row>
    <row r="5">
      <c r="A5" s="6" t="inlineStr">
        <is>
          <t xml:space="preserve">S03</t>
        </is>
      </c>
      <c r="B5" s="5" t="inlineStr">
        <is>
          <t xml:space="preserve">2 · 對話 Chat</t>
        </is>
      </c>
      <c r="C5" s="5" t="inlineStr">
        <is>
          <t xml:space="preserve">對話 · 圖表往返</t>
        </is>
      </c>
      <c r="D5" s="6" t="inlineStr">
        <is>
          <t xml:space="preserve">主畫面</t>
        </is>
      </c>
      <c r="E5" s="5" t="inlineStr">
        <is>
          <t xml:space="preserve">監控圖表帶進對話、AI 回覆圖表加入 Dashboard</t>
        </is>
      </c>
      <c r="F5" s="6" t="inlineStr">
        <is>
          <t xml:space="preserve">桌機</t>
        </is>
      </c>
      <c r="G5" s="7"/>
    </row>
    <row r="6">
      <c r="A6" s="6" t="inlineStr">
        <is>
          <t xml:space="preserve">S04</t>
        </is>
      </c>
      <c r="B6" s="5" t="inlineStr">
        <is>
          <t xml:space="preserve">2 · 對話 Chat</t>
        </is>
      </c>
      <c r="C6" s="5" t="inlineStr">
        <is>
          <t xml:space="preserve">附件選單</t>
        </is>
      </c>
      <c r="D6" s="6" t="inlineStr">
        <is>
          <t xml:space="preserve">下拉選單</t>
        </is>
      </c>
      <c r="E6" s="5" t="inlineStr">
        <is>
          <t xml:space="preserve">上傳圖片／匯入檔案</t>
        </is>
      </c>
      <c r="F6" s="6" t="inlineStr">
        <is>
          <t xml:space="preserve">桌機</t>
        </is>
      </c>
      <c r="G6" s="7"/>
    </row>
    <row r="7">
      <c r="A7" s="6" t="inlineStr">
        <is>
          <t xml:space="preserve">S05</t>
        </is>
      </c>
      <c r="B7" s="5" t="inlineStr">
        <is>
          <t xml:space="preserve">3 · 知識庫 RAG</t>
        </is>
      </c>
      <c r="C7" s="5" t="inlineStr">
        <is>
          <t xml:space="preserve">知識庫詳情</t>
        </is>
      </c>
      <c r="D7" s="6" t="inlineStr">
        <is>
          <t xml:space="preserve">主畫面</t>
        </is>
      </c>
      <c r="E7" s="5" t="inlineStr">
        <is>
          <t xml:space="preserve">畫板高 1280；變更狀態列／說明／開關／預算／文件清單／檢索測試／健康</t>
        </is>
      </c>
      <c r="F7" s="6" t="inlineStr">
        <is>
          <t xml:space="preserve">桌機</t>
        </is>
      </c>
      <c r="G7" s="7"/>
    </row>
    <row r="8">
      <c r="A8" s="6" t="inlineStr">
        <is>
          <t xml:space="preserve">S06</t>
        </is>
      </c>
      <c r="B8" s="5" t="inlineStr">
        <is>
          <t xml:space="preserve">3 · 知識庫 RAG</t>
        </is>
      </c>
      <c r="C8" s="5" t="inlineStr">
        <is>
          <t xml:space="preserve">空狀態 · 引導</t>
        </is>
      </c>
      <c r="D8" s="6" t="inlineStr">
        <is>
          <t xml:space="preserve">次視圖</t>
        </is>
      </c>
      <c r="E8" s="5" t="inlineStr">
        <is>
          <t xml:space="preserve">零知識庫時的三步驟引導＋範本卡</t>
        </is>
      </c>
      <c r="F8" s="6" t="inlineStr">
        <is>
          <t xml:space="preserve">桌機</t>
        </is>
      </c>
      <c r="G8" s="7"/>
    </row>
    <row r="9">
      <c r="A9" s="6" t="inlineStr">
        <is>
          <t xml:space="preserve">S07</t>
        </is>
      </c>
      <c r="B9" s="5" t="inlineStr">
        <is>
          <t xml:space="preserve">3 · 知識庫 RAG</t>
        </is>
      </c>
      <c r="C9" s="5" t="inlineStr">
        <is>
          <t xml:space="preserve">知識庫總覽</t>
        </is>
      </c>
      <c r="D9" s="6" t="inlineStr">
        <is>
          <t xml:space="preserve">次視圖</t>
        </is>
      </c>
      <c r="E9" s="5" t="inlineStr">
        <is>
          <t xml:space="preserve">格狀卡片，含停用態</t>
        </is>
      </c>
      <c r="F9" s="6" t="inlineStr">
        <is>
          <t xml:space="preserve">桌機</t>
        </is>
      </c>
      <c r="G9" s="7"/>
    </row>
    <row r="10">
      <c r="A10" s="6" t="inlineStr">
        <is>
          <t xml:space="preserve">S08</t>
        </is>
      </c>
      <c r="B10" s="5" t="inlineStr">
        <is>
          <t xml:space="preserve">3 · 知識庫 RAG</t>
        </is>
      </c>
      <c r="C10" s="5" t="inlineStr">
        <is>
          <t xml:space="preserve">對話框與選單</t>
        </is>
      </c>
      <c r="D10" s="6" t="inlineStr">
        <is>
          <t xml:space="preserve">對話框組</t>
        </is>
      </c>
      <c r="E10" s="5" t="inlineStr">
        <is>
          <t xml:space="preserve">新增／停用／刪除知識庫＋兩層操作選單</t>
        </is>
      </c>
      <c r="F10" s="6" t="inlineStr">
        <is>
          <t xml:space="preserve">桌機</t>
        </is>
      </c>
      <c r="G10" s="7"/>
    </row>
    <row r="11">
      <c r="A11" s="6" t="inlineStr">
        <is>
          <t xml:space="preserve">S09</t>
        </is>
      </c>
      <c r="B11" s="5" t="inlineStr">
        <is>
          <t xml:space="preserve">3 · 知識庫 RAG</t>
        </is>
      </c>
      <c r="C11" s="5" t="inlineStr">
        <is>
          <t xml:space="preserve">檔案生命週期</t>
        </is>
      </c>
      <c r="D11" s="6" t="inlineStr">
        <is>
          <t xml:space="preserve">次視圖</t>
        </is>
      </c>
      <c r="E11" s="5" t="inlineStr">
        <is>
          <t xml:space="preserve">待處理／處理中／就緒／解析失敗各階段</t>
        </is>
      </c>
      <c r="F11" s="6" t="inlineStr">
        <is>
          <t xml:space="preserve">桌機</t>
        </is>
      </c>
      <c r="G11" s="7"/>
    </row>
    <row r="12">
      <c r="A12" s="6" t="inlineStr">
        <is>
          <t xml:space="preserve">S10</t>
        </is>
      </c>
      <c r="B12" s="5" t="inlineStr">
        <is>
          <t xml:space="preserve">3 · 知識庫 RAG</t>
        </is>
      </c>
      <c r="C12" s="5" t="inlineStr">
        <is>
          <t xml:space="preserve">發布變更與版本紀錄</t>
        </is>
      </c>
      <c r="D12" s="6" t="inlineStr">
        <is>
          <t xml:space="preserve">次視圖</t>
        </is>
      </c>
      <c r="E12" s="5" t="inlineStr">
        <is>
          <t xml:space="preserve">發布前 diff 清單、版本紀錄與回滾</t>
        </is>
      </c>
      <c r="F12" s="6" t="inlineStr">
        <is>
          <t xml:space="preserve">桌機</t>
        </is>
      </c>
      <c r="G12" s="7"/>
    </row>
    <row r="13">
      <c r="A13" s="6" t="inlineStr">
        <is>
          <t xml:space="preserve">S11</t>
        </is>
      </c>
      <c r="B13" s="5" t="inlineStr">
        <is>
          <t xml:space="preserve">3 · 知識庫 RAG</t>
        </is>
      </c>
      <c r="C13" s="5" t="inlineStr">
        <is>
          <t xml:space="preserve">檔案預覽抽屜</t>
        </is>
      </c>
      <c r="D13" s="6" t="inlineStr">
        <is>
          <t xml:space="preserve">抽屜</t>
        </is>
      </c>
      <c r="E13" s="5" t="inlineStr">
        <is>
          <t xml:space="preserve">原檔／解析後文字／分段結果三層</t>
        </is>
      </c>
      <c r="F13" s="6" t="inlineStr">
        <is>
          <t xml:space="preserve">桌機</t>
        </is>
      </c>
      <c r="G13" s="7"/>
    </row>
    <row r="14">
      <c r="A14" s="6" t="inlineStr">
        <is>
          <t xml:space="preserve">S12</t>
        </is>
      </c>
      <c r="B14" s="5" t="inlineStr">
        <is>
          <t xml:space="preserve">4 · 監控 Dashboard</t>
        </is>
      </c>
      <c r="C14" s="5" t="inlineStr">
        <is>
          <t xml:space="preserve">監控 Dashboard</t>
        </is>
      </c>
      <c r="D14" s="6" t="inlineStr">
        <is>
          <t xml:space="preserve">主畫面</t>
        </is>
      </c>
      <c r="E14" s="5" t="inlineStr">
        <is>
          <t xml:space="preserve">畫板高 1724；標題列＋Stat Card 列＋Chart Panel 網格＋新增面板佔位</t>
        </is>
      </c>
      <c r="F14" s="6" t="inlineStr">
        <is>
          <t xml:space="preserve">桌機</t>
        </is>
      </c>
      <c r="G14" s="7"/>
    </row>
    <row r="15">
      <c r="A15" s="6" t="inlineStr">
        <is>
          <t xml:space="preserve">S13</t>
        </is>
      </c>
      <c r="B15" s="5" t="inlineStr">
        <is>
          <t xml:space="preserve">4 · 監控 Dashboard</t>
        </is>
      </c>
      <c r="C15" s="5" t="inlineStr">
        <is>
          <t xml:space="preserve">資料源管理</t>
        </is>
      </c>
      <c r="D15" s="6" t="inlineStr">
        <is>
          <t xml:space="preserve">次視圖</t>
        </is>
      </c>
      <c r="E15" s="5" t="inlineStr">
        <is>
          <t xml:space="preserve">資料源清單卡＋新增按鈕</t>
        </is>
      </c>
      <c r="F15" s="6" t="inlineStr">
        <is>
          <t xml:space="preserve">桌機</t>
        </is>
      </c>
      <c r="G15" s="7"/>
    </row>
    <row r="16">
      <c r="A16" s="6" t="inlineStr">
        <is>
          <t xml:space="preserve">S14</t>
        </is>
      </c>
      <c r="B16" s="5" t="inlineStr">
        <is>
          <t xml:space="preserve">4 · 監控 Dashboard</t>
        </is>
      </c>
      <c r="C16" s="5" t="inlineStr">
        <is>
          <t xml:space="preserve">新增 Dashboard · 從範本</t>
        </is>
      </c>
      <c r="D16" s="6" t="inlineStr">
        <is>
          <t xml:space="preserve">對話框</t>
        </is>
      </c>
      <c r="E16" s="5" t="inlineStr">
        <is>
          <t xml:space="preserve">分段控制＋三張範本列＋建立摘要</t>
        </is>
      </c>
      <c r="F16" s="6" t="inlineStr">
        <is>
          <t xml:space="preserve">桌機</t>
        </is>
      </c>
      <c r="G16" s="7"/>
    </row>
    <row r="17">
      <c r="A17" s="6" t="inlineStr">
        <is>
          <t xml:space="preserve">S15</t>
        </is>
      </c>
      <c r="B17" s="5" t="inlineStr">
        <is>
          <t xml:space="preserve">4 · 監控 Dashboard</t>
        </is>
      </c>
      <c r="C17" s="5" t="inlineStr">
        <is>
          <t xml:space="preserve">新增 Dashboard · 貼上 JSON</t>
        </is>
      </c>
      <c r="D17" s="6" t="inlineStr">
        <is>
          <t xml:space="preserve">對話框</t>
        </is>
      </c>
      <c r="E17" s="5" t="inlineStr">
        <is>
          <t xml:space="preserve">就地解析摘要；中間內容捲動</t>
        </is>
      </c>
      <c r="F17" s="6" t="inlineStr">
        <is>
          <t xml:space="preserve">桌機</t>
        </is>
      </c>
      <c r="G17" s="7"/>
    </row>
    <row r="18">
      <c r="A18" s="6" t="inlineStr">
        <is>
          <t xml:space="preserve">S16</t>
        </is>
      </c>
      <c r="B18" s="5" t="inlineStr">
        <is>
          <t xml:space="preserve">4 · 監控 Dashboard</t>
        </is>
      </c>
      <c r="C18" s="5" t="inlineStr">
        <is>
          <t xml:space="preserve">新增資料源</t>
        </is>
      </c>
      <c r="D18" s="6" t="inlineStr">
        <is>
          <t xml:space="preserve">對話框</t>
        </is>
      </c>
      <c r="E18" s="5" t="inlineStr">
        <is>
          <t xml:space="preserve">連線驗證三態＋Basic Auth 摺疊＋預設資料源</t>
        </is>
      </c>
      <c r="F18" s="6" t="inlineStr">
        <is>
          <t xml:space="preserve">桌機</t>
        </is>
      </c>
      <c r="G18" s="7"/>
    </row>
    <row r="19">
      <c r="A19" s="6" t="inlineStr">
        <is>
          <t xml:space="preserve">S17</t>
        </is>
      </c>
      <c r="B19" s="5" t="inlineStr">
        <is>
          <t xml:space="preserve">4 · 監控 Dashboard</t>
        </is>
      </c>
      <c r="C19" s="5" t="inlineStr">
        <is>
          <t xml:space="preserve">加入 Dashboard</t>
        </is>
      </c>
      <c r="D19" s="6" t="inlineStr">
        <is>
          <t xml:space="preserve">對話框</t>
        </is>
      </c>
      <c r="E19" s="5" t="inlineStr">
        <is>
          <t xml:space="preserve">從對話把圖表存回面板</t>
        </is>
      </c>
      <c r="F19" s="6" t="inlineStr">
        <is>
          <t xml:space="preserve">桌機</t>
        </is>
      </c>
      <c r="G19" s="7"/>
    </row>
    <row r="20">
      <c r="A20" s="6" t="inlineStr">
        <is>
          <t xml:space="preserve">S18</t>
        </is>
      </c>
      <c r="B20" s="5" t="inlineStr">
        <is>
          <t xml:space="preserve">4 · 監控 Dashboard</t>
        </is>
      </c>
      <c r="C20" s="5" t="inlineStr">
        <is>
          <t xml:space="preserve">新增面板 · 自訂圖表</t>
        </is>
      </c>
      <c r="D20" s="6" t="inlineStr">
        <is>
          <t xml:space="preserve">對話框</t>
        </is>
      </c>
      <c r="E20" s="5" t="inlineStr">
        <is>
          <t xml:space="preserve">資料源／PromQL／驗證查詢／面板類型</t>
        </is>
      </c>
      <c r="F20" s="6" t="inlineStr">
        <is>
          <t xml:space="preserve">桌機</t>
        </is>
      </c>
      <c r="G20" s="7"/>
    </row>
    <row r="21">
      <c r="A21" s="6" t="inlineStr">
        <is>
          <t xml:space="preserve">S19</t>
        </is>
      </c>
      <c r="B21" s="5" t="inlineStr">
        <is>
          <t xml:space="preserve">4 · 監控 Dashboard</t>
        </is>
      </c>
      <c r="C21" s="5" t="inlineStr">
        <is>
          <t xml:space="preserve">新增面板 · 預覽（捲動後）</t>
        </is>
      </c>
      <c r="D21" s="6" t="inlineStr">
        <is>
          <t xml:space="preserve">對話框</t>
        </is>
      </c>
      <c r="E21" s="5" t="inlineStr">
        <is>
          <t xml:space="preserve">標題／進階摺疊／即時預覽</t>
        </is>
      </c>
      <c r="F21" s="6" t="inlineStr">
        <is>
          <t xml:space="preserve">桌機</t>
        </is>
      </c>
      <c r="G21" s="7"/>
    </row>
    <row r="22">
      <c r="A22" s="6" t="inlineStr">
        <is>
          <t xml:space="preserve">S20</t>
        </is>
      </c>
      <c r="B22" s="5" t="inlineStr">
        <is>
          <t xml:space="preserve">4 · 監控 Dashboard</t>
        </is>
      </c>
      <c r="C22" s="5" t="inlineStr">
        <is>
          <t xml:space="preserve">新增面板 · 貼上 JSON</t>
        </is>
      </c>
      <c r="D22" s="6" t="inlineStr">
        <is>
          <t xml:space="preserve">對話框</t>
        </is>
      </c>
      <c r="E22" s="5" t="inlineStr">
        <is>
          <t xml:space="preserve">面板 JSON 解析摘要＋樣式覆蓋說明</t>
        </is>
      </c>
      <c r="F22" s="6" t="inlineStr">
        <is>
          <t xml:space="preserve">桌機</t>
        </is>
      </c>
      <c r="G22" s="7"/>
    </row>
    <row r="23">
      <c r="A23" s="6" t="inlineStr">
        <is>
          <t xml:space="preserve">S21</t>
        </is>
      </c>
      <c r="B23" s="5" t="inlineStr">
        <is>
          <t xml:space="preserve">4 · 監控 Dashboard</t>
        </is>
      </c>
      <c r="C23" s="5" t="inlineStr">
        <is>
          <t xml:space="preserve">圖表樣式</t>
        </is>
      </c>
      <c r="D23" s="6" t="inlineStr">
        <is>
          <t xml:space="preserve">對話框</t>
        </is>
      </c>
      <c r="E23" s="5" t="inlineStr">
        <is>
          <t xml:space="preserve">三套色盤＋自訂 hex＋格線＋圖例位置</t>
        </is>
      </c>
      <c r="F23" s="6" t="inlineStr">
        <is>
          <t xml:space="preserve">桌機</t>
        </is>
      </c>
      <c r="G23" s="7"/>
    </row>
    <row r="24">
      <c r="A24" s="6" t="inlineStr">
        <is>
          <t xml:space="preserve">S22</t>
        </is>
      </c>
      <c r="B24" s="5" t="inlineStr">
        <is>
          <t xml:space="preserve">4 · 監控 Dashboard</t>
        </is>
      </c>
      <c r="C24" s="5" t="inlineStr">
        <is>
          <t xml:space="preserve">刪除 Dashboard</t>
        </is>
      </c>
      <c r="D24" s="6" t="inlineStr">
        <is>
          <t xml:space="preserve">對話框</t>
        </is>
      </c>
      <c r="E24" s="5" t="inlineStr">
        <is>
          <t xml:space="preserve">Danger 層、不需輸入名稱</t>
        </is>
      </c>
      <c r="F24" s="6" t="inlineStr">
        <is>
          <t xml:space="preserve">桌機</t>
        </is>
      </c>
      <c r="G24" s="7"/>
    </row>
    <row r="25">
      <c r="A25" s="6" t="inlineStr">
        <is>
          <t xml:space="preserve">S23</t>
        </is>
      </c>
      <c r="B25" s="5" t="inlineStr">
        <is>
          <t xml:space="preserve">4 · 監控 Dashboard</t>
        </is>
      </c>
      <c r="C25" s="5" t="inlineStr">
        <is>
          <t xml:space="preserve">刪除資料源</t>
        </is>
      </c>
      <c r="D25" s="6" t="inlineStr">
        <is>
          <t xml:space="preserve">對話框</t>
        </is>
      </c>
      <c r="E25" s="5" t="inlineStr">
        <is>
          <t xml:space="preserve">Danger 層＋影響範圍說明</t>
        </is>
      </c>
      <c r="F25" s="6" t="inlineStr">
        <is>
          <t xml:space="preserve">桌機</t>
        </is>
      </c>
      <c r="G25" s="7"/>
    </row>
    <row r="26">
      <c r="A26" s="6" t="inlineStr">
        <is>
          <t xml:space="preserve">S24</t>
        </is>
      </c>
      <c r="B26" s="5" t="inlineStr">
        <is>
          <t xml:space="preserve">4 · 監控 Dashboard</t>
        </is>
      </c>
      <c r="C26" s="5" t="inlineStr">
        <is>
          <t xml:space="preserve">操作選單 ×2</t>
        </is>
      </c>
      <c r="D26" s="6" t="inlineStr">
        <is>
          <t xml:space="preserve">下拉選單</t>
        </is>
      </c>
      <c r="E26" s="5" t="inlineStr">
        <is>
          <t xml:space="preserve">Dashboard 層／面板層兩份，項目不重疊</t>
        </is>
      </c>
      <c r="F26" s="6" t="inlineStr">
        <is>
          <t xml:space="preserve">桌機</t>
        </is>
      </c>
      <c r="G26" s="7"/>
    </row>
    <row r="27">
      <c r="A27" s="6" t="inlineStr">
        <is>
          <t xml:space="preserve">S25</t>
        </is>
      </c>
      <c r="B27" s="5" t="inlineStr">
        <is>
          <t xml:space="preserve">5 · 排程與報告</t>
        </is>
      </c>
      <c r="C27" s="5" t="inlineStr">
        <is>
          <t xml:space="preserve">排程（計劃列表）</t>
        </is>
      </c>
      <c r="D27" s="6" t="inlineStr">
        <is>
          <t xml:space="preserve">主畫面</t>
        </is>
      </c>
      <c r="E27" s="5" t="inlineStr">
        <is>
          <t xml:space="preserve">計劃列含常駐提示詞、cron chip、執行狀態</t>
        </is>
      </c>
      <c r="F27" s="6" t="inlineStr">
        <is>
          <t xml:space="preserve">桌機</t>
        </is>
      </c>
      <c r="G27" s="7"/>
    </row>
    <row r="28">
      <c r="A28" s="6" t="inlineStr">
        <is>
          <t xml:space="preserve">S26</t>
        </is>
      </c>
      <c r="B28" s="5" t="inlineStr">
        <is>
          <t xml:space="preserve">5 · 排程與報告</t>
        </is>
      </c>
      <c r="C28" s="5" t="inlineStr">
        <is>
          <t xml:space="preserve">報告清單</t>
        </is>
      </c>
      <c r="D28" s="6" t="inlineStr">
        <is>
          <t xml:space="preserve">主畫面</t>
        </is>
      </c>
      <c r="E28" s="5" t="inlineStr">
        <is>
          <t xml:space="preserve">搜尋＋三組篩選＋分批載入</t>
        </is>
      </c>
      <c r="F28" s="6" t="inlineStr">
        <is>
          <t xml:space="preserve">桌機</t>
        </is>
      </c>
      <c r="G28" s="7"/>
    </row>
    <row r="29">
      <c r="A29" s="6" t="inlineStr">
        <is>
          <t xml:space="preserve">S27</t>
        </is>
      </c>
      <c r="B29" s="5" t="inlineStr">
        <is>
          <t xml:space="preserve">5 · 排程與報告</t>
        </is>
      </c>
      <c r="C29" s="5" t="inlineStr">
        <is>
          <t xml:space="preserve">報告檢視</t>
        </is>
      </c>
      <c r="D29" s="6" t="inlineStr">
        <is>
          <t xml:space="preserve">次視圖</t>
        </is>
      </c>
      <c r="E29" s="5" t="inlineStr">
        <is>
          <t xml:space="preserve">Markdown 渲染＋出處＋右上動作</t>
        </is>
      </c>
      <c r="F29" s="6" t="inlineStr">
        <is>
          <t xml:space="preserve">桌機</t>
        </is>
      </c>
      <c r="G29" s="7"/>
    </row>
    <row r="30">
      <c r="A30" s="6" t="inlineStr">
        <is>
          <t xml:space="preserve">S28</t>
        </is>
      </c>
      <c r="B30" s="5" t="inlineStr">
        <is>
          <t xml:space="preserve">5 · 排程與報告</t>
        </is>
      </c>
      <c r="C30" s="5" t="inlineStr">
        <is>
          <t xml:space="preserve">新增計劃</t>
        </is>
      </c>
      <c r="D30" s="6" t="inlineStr">
        <is>
          <t xml:space="preserve">對話框</t>
        </is>
      </c>
      <c r="E30" s="5" t="inlineStr">
        <is>
          <t xml:space="preserve">Cron 即時翻白話＋三次執行預告</t>
        </is>
      </c>
      <c r="F30" s="6" t="inlineStr">
        <is>
          <t xml:space="preserve">桌機</t>
        </is>
      </c>
      <c r="G30" s="7"/>
    </row>
    <row r="31">
      <c r="A31" s="6" t="inlineStr">
        <is>
          <t xml:space="preserve">S29</t>
        </is>
      </c>
      <c r="B31" s="5" t="inlineStr">
        <is>
          <t xml:space="preserve">5 · 排程與報告</t>
        </is>
      </c>
      <c r="C31" s="5" t="inlineStr">
        <is>
          <t xml:space="preserve">停用／刪除計劃</t>
        </is>
      </c>
      <c r="D31" s="6" t="inlineStr">
        <is>
          <t xml:space="preserve">對話框</t>
        </is>
      </c>
      <c r="E31" s="5" t="inlineStr">
        <is>
          <t xml:space="preserve">Warning 層／Danger 層各一</t>
        </is>
      </c>
      <c r="F31" s="6" t="inlineStr">
        <is>
          <t xml:space="preserve">桌機</t>
        </is>
      </c>
      <c r="G31" s="7"/>
    </row>
    <row r="32">
      <c r="A32" s="6" t="inlineStr">
        <is>
          <t xml:space="preserve">S30</t>
        </is>
      </c>
      <c r="B32" s="5" t="inlineStr">
        <is>
          <t xml:space="preserve">6 · 設定</t>
        </is>
      </c>
      <c r="C32" s="5" t="inlineStr">
        <is>
          <t xml:space="preserve">組織管理（清單）</t>
        </is>
      </c>
      <c r="D32" s="6" t="inlineStr">
        <is>
          <t xml:space="preserve">主畫面</t>
        </is>
      </c>
      <c r="E32" s="5" t="inlineStr">
        <is>
          <t xml:space="preserve">三組計數＋更新時間＋下鑽</t>
        </is>
      </c>
      <c r="F32" s="6" t="inlineStr">
        <is>
          <t xml:space="preserve">桌機</t>
        </is>
      </c>
      <c r="G32" s="7"/>
    </row>
    <row r="33">
      <c r="A33" s="6" t="inlineStr">
        <is>
          <t xml:space="preserve">S31</t>
        </is>
      </c>
      <c r="B33" s="5" t="inlineStr">
        <is>
          <t xml:space="preserve">6 · 設定</t>
        </is>
      </c>
      <c r="C33" s="5" t="inlineStr">
        <is>
          <t xml:space="preserve">組織詳情（群組與成員）</t>
        </is>
      </c>
      <c r="D33" s="6" t="inlineStr">
        <is>
          <t xml:space="preserve">次視圖</t>
        </is>
      </c>
      <c r="E33" s="5" t="inlineStr">
        <is>
          <t xml:space="preserve">成員卡＋群組卡</t>
        </is>
      </c>
      <c r="F33" s="6" t="inlineStr">
        <is>
          <t xml:space="preserve">桌機</t>
        </is>
      </c>
      <c r="G33" s="7"/>
    </row>
    <row r="34">
      <c r="A34" s="6" t="inlineStr">
        <is>
          <t xml:space="preserve">S32</t>
        </is>
      </c>
      <c r="B34" s="5" t="inlineStr">
        <is>
          <t xml:space="preserve">6 · 設定</t>
        </is>
      </c>
      <c r="C34" s="5" t="inlineStr">
        <is>
          <t xml:space="preserve">使用者管理</t>
        </is>
      </c>
      <c r="D34" s="6" t="inlineStr">
        <is>
          <t xml:space="preserve">主畫面</t>
        </is>
      </c>
      <c r="E34" s="5" t="inlineStr">
        <is>
          <t xml:space="preserve">受保護帳號 vs 一般帳號差異化</t>
        </is>
      </c>
      <c r="F34" s="6" t="inlineStr">
        <is>
          <t xml:space="preserve">桌機</t>
        </is>
      </c>
      <c r="G34" s="7"/>
    </row>
    <row r="35">
      <c r="A35" s="6" t="inlineStr">
        <is>
          <t xml:space="preserve">S33</t>
        </is>
      </c>
      <c r="B35" s="5" t="inlineStr">
        <is>
          <t xml:space="preserve">6 · 設定</t>
        </is>
      </c>
      <c r="C35" s="5" t="inlineStr">
        <is>
          <t xml:space="preserve">組織管理 · 空狀態</t>
        </is>
      </c>
      <c r="D35" s="6" t="inlineStr">
        <is>
          <t xml:space="preserve">次視圖</t>
        </is>
      </c>
      <c r="E35" s="5" t="inlineStr">
        <is>
          <t xml:space="preserve">收起次要入口＋三步驟引導</t>
        </is>
      </c>
      <c r="F35" s="6" t="inlineStr">
        <is>
          <t xml:space="preserve">桌機</t>
        </is>
      </c>
      <c r="G35" s="7"/>
    </row>
    <row r="36">
      <c r="A36" s="6" t="inlineStr">
        <is>
          <t xml:space="preserve">S34</t>
        </is>
      </c>
      <c r="B36" s="5" t="inlineStr">
        <is>
          <t xml:space="preserve">6 · 設定</t>
        </is>
      </c>
      <c r="C36" s="5" t="inlineStr">
        <is>
          <t xml:space="preserve">API 與整合</t>
        </is>
      </c>
      <c r="D36" s="6" t="inlineStr">
        <is>
          <t xml:space="preserve">主畫面</t>
        </is>
      </c>
      <c r="E36" s="5" t="inlineStr">
        <is>
          <t xml:space="preserve">API Key 清單＋使用說明＋文件外連</t>
        </is>
      </c>
      <c r="F36" s="6" t="inlineStr">
        <is>
          <t xml:space="preserve">桌機</t>
        </is>
      </c>
      <c r="G36" s="7"/>
    </row>
    <row r="37">
      <c r="A37" s="6" t="inlineStr">
        <is>
          <t xml:space="preserve">S35</t>
        </is>
      </c>
      <c r="B37" s="5" t="inlineStr">
        <is>
          <t xml:space="preserve">6 · 設定</t>
        </is>
      </c>
      <c r="C37" s="5" t="inlineStr">
        <is>
          <t xml:space="preserve">新增組織／群組／使用者、加入成員、刪除組織</t>
        </is>
      </c>
      <c r="D37" s="6" t="inlineStr">
        <is>
          <t xml:space="preserve">對話框</t>
        </is>
      </c>
      <c r="E37" s="5" t="inlineStr">
        <is>
          <t xml:space="preserve">共 5 個</t>
        </is>
      </c>
      <c r="F37" s="6" t="inlineStr">
        <is>
          <t xml:space="preserve">桌機</t>
        </is>
      </c>
      <c r="G37" s="7"/>
    </row>
    <row r="38">
      <c r="A38" s="6" t="inlineStr">
        <is>
          <t xml:space="preserve">S36</t>
        </is>
      </c>
      <c r="B38" s="5" t="inlineStr">
        <is>
          <t xml:space="preserve">7 · 手機版適配</t>
        </is>
      </c>
      <c r="C38" s="5" t="inlineStr">
        <is>
          <t xml:space="preserve">手機 · 對話 Chat</t>
        </is>
      </c>
      <c r="D38" s="6" t="inlineStr">
        <is>
          <t xml:space="preserve">主畫面</t>
        </is>
      </c>
      <c r="E38" s="5" t="inlineStr">
        <is>
          <t xml:space="preserve">390×844</t>
        </is>
      </c>
      <c r="F38" s="6" t="inlineStr">
        <is>
          <t xml:space="preserve">手機</t>
        </is>
      </c>
      <c r="G38" s="7"/>
    </row>
    <row r="39">
      <c r="A39" s="6" t="inlineStr">
        <is>
          <t xml:space="preserve">S37</t>
        </is>
      </c>
      <c r="B39" s="5" t="inlineStr">
        <is>
          <t xml:space="preserve">7 · 手機版適配</t>
        </is>
      </c>
      <c r="C39" s="5" t="inlineStr">
        <is>
          <t xml:space="preserve">手機 · 對話 · 生成中</t>
        </is>
      </c>
      <c r="D39" s="6" t="inlineStr">
        <is>
          <t xml:space="preserve">狀態畫面</t>
        </is>
      </c>
      <c r="E39" s="5" t="inlineStr">
        <is>
          <t xml:space="preserve">思考展開＋排隊訊息＋Composer 生成中</t>
        </is>
      </c>
      <c r="F39" s="6" t="inlineStr">
        <is>
          <t xml:space="preserve">手機</t>
        </is>
      </c>
      <c r="G39" s="7"/>
    </row>
    <row r="40">
      <c r="A40" s="6" t="inlineStr">
        <is>
          <t xml:space="preserve">S38</t>
        </is>
      </c>
      <c r="B40" s="5" t="inlineStr">
        <is>
          <t xml:space="preserve">7 · 手機版適配</t>
        </is>
      </c>
      <c r="C40" s="5" t="inlineStr">
        <is>
          <t xml:space="preserve">手機 · 長按訊息選單</t>
        </is>
      </c>
      <c r="D40" s="6" t="inlineStr">
        <is>
          <t xml:space="preserve">互動狀態</t>
        </is>
      </c>
      <c r="E40" s="5" t="inlineStr">
        <is>
          <t xml:space="preserve">遮罩＋底部 sheet</t>
        </is>
      </c>
      <c r="F40" s="6" t="inlineStr">
        <is>
          <t xml:space="preserve">手機</t>
        </is>
      </c>
      <c r="G40" s="7"/>
    </row>
    <row r="41">
      <c r="A41" s="6" t="inlineStr">
        <is>
          <t xml:space="preserve">S39</t>
        </is>
      </c>
      <c r="B41" s="5" t="inlineStr">
        <is>
          <t xml:space="preserve">7 · 手機版適配</t>
        </is>
      </c>
      <c r="C41" s="5" t="inlineStr">
        <is>
          <t xml:space="preserve">手機 · 報告清單</t>
        </is>
      </c>
      <c r="D41" s="6" t="inlineStr">
        <is>
          <t xml:space="preserve">主畫面</t>
        </is>
      </c>
      <c r="E41" s="5" t="inlineStr">
        <is>
          <t xml:space="preserve">篩選 chip＋卡片清單</t>
        </is>
      </c>
      <c r="F41" s="6" t="inlineStr">
        <is>
          <t xml:space="preserve">手機</t>
        </is>
      </c>
      <c r="G41" s="7"/>
    </row>
    <row r="42">
      <c r="A42" s="6" t="inlineStr">
        <is>
          <t xml:space="preserve">S40</t>
        </is>
      </c>
      <c r="B42" s="5" t="inlineStr">
        <is>
          <t xml:space="preserve">7 · 手機版適配</t>
        </is>
      </c>
      <c r="C42" s="5" t="inlineStr">
        <is>
          <t xml:space="preserve">手機 · 報告檢視</t>
        </is>
      </c>
      <c r="D42" s="6" t="inlineStr">
        <is>
          <t xml:space="preserve">次視圖</t>
        </is>
      </c>
      <c r="E42" s="5" t="inlineStr">
        <is>
          <t xml:space="preserve">隱藏 tab bar＋底部固定動作列</t>
        </is>
      </c>
      <c r="F42" s="6" t="inlineStr">
        <is>
          <t xml:space="preserve">手機</t>
        </is>
      </c>
      <c r="G42" s="7"/>
    </row>
    <row r="43">
      <c r="A43" s="6" t="inlineStr">
        <is>
          <t xml:space="preserve">S41</t>
        </is>
      </c>
      <c r="B43" s="5" t="inlineStr">
        <is>
          <t xml:space="preserve">8 · 設計系統與元件庫</t>
        </is>
      </c>
      <c r="C43" s="5" t="inlineStr">
        <is>
          <t xml:space="preserve">0 · Design System</t>
        </is>
      </c>
      <c r="D43" s="6" t="inlineStr">
        <is>
          <t xml:space="preserve">說明頁</t>
        </is>
      </c>
      <c r="E43" s="5" t="inlineStr">
        <is>
          <t xml:space="preserve">色彩／字型／圓角／間距 token 定義</t>
        </is>
      </c>
      <c r="F43" s="6" t="inlineStr">
        <is>
          <t xml:space="preserve">—</t>
        </is>
      </c>
      <c r="G43" s="7"/>
    </row>
    <row r="44">
      <c r="A44" s="6" t="inlineStr">
        <is>
          <t xml:space="preserve">S42</t>
        </is>
      </c>
      <c r="B44" s="5" t="inlineStr">
        <is>
          <t xml:space="preserve">8 · 設計系統與元件庫</t>
        </is>
      </c>
      <c r="C44" s="5" t="inlineStr">
        <is>
          <t xml:space="preserve">🧩 Components</t>
        </is>
      </c>
      <c r="D44" s="6" t="inlineStr">
        <is>
          <t xml:space="preserve">元件庫</t>
        </is>
      </c>
      <c r="E44" s="5" t="inlineStr">
        <is>
          <t xml:space="preserve">全部 Figma Component 與變體</t>
        </is>
      </c>
      <c r="F44" s="6" t="inlineStr">
        <is>
          <t xml:space="preserve">—</t>
        </is>
      </c>
      <c r="G44" s="7"/>
    </row>
    <row r="45">
      <c r="A45" s="6" t="inlineStr">
        <is>
          <t xml:space="preserve">S43</t>
        </is>
      </c>
      <c r="B45" s="5" t="inlineStr">
        <is>
          <t xml:space="preserve">8 · 設計系統與元件庫</t>
        </is>
      </c>
      <c r="C45" s="5" t="inlineStr">
        <is>
          <t xml:space="preserve">SPEC · 知識庫</t>
        </is>
      </c>
      <c r="D45" s="6" t="inlineStr">
        <is>
          <t xml:space="preserve">說明頁</t>
        </is>
      </c>
      <c r="E45" s="5" t="inlineStr">
        <is>
          <t xml:space="preserve">真實 UI 零件＋編號圖釘</t>
        </is>
      </c>
      <c r="F45" s="6" t="inlineStr">
        <is>
          <t xml:space="preserve">—</t>
        </is>
      </c>
      <c r="G45" s="7"/>
    </row>
    <row r="46">
      <c r="A46" s="6" t="inlineStr">
        <is>
          <t xml:space="preserve">S44</t>
        </is>
      </c>
      <c r="B46" s="5" t="inlineStr">
        <is>
          <t xml:space="preserve">8 · 設計系統與元件庫</t>
        </is>
      </c>
      <c r="C46" s="5" t="inlineStr">
        <is>
          <t xml:space="preserve">SPEC · 監控 Dashboard</t>
        </is>
      </c>
      <c r="D46" s="6" t="inlineStr">
        <is>
          <t xml:space="preserve">說明頁</t>
        </is>
      </c>
      <c r="E46" s="5" t="inlineStr">
        <is>
          <t xml:space="preserve">寬 1042 / 高 7382，圖釘至 ㉝</t>
        </is>
      </c>
      <c r="F46" s="6" t="inlineStr">
        <is>
          <t xml:space="preserve">—</t>
        </is>
      </c>
      <c r="G46" s="7"/>
    </row>
    <row r="47">
      <c r="A47" s="6" t="inlineStr">
        <is>
          <t xml:space="preserve">S45</t>
        </is>
      </c>
      <c r="B47" s="5" t="inlineStr">
        <is>
          <t xml:space="preserve">8 · 設計系統與元件庫</t>
        </is>
      </c>
      <c r="C47" s="5" t="inlineStr">
        <is>
          <t xml:space="preserve">SPEC · 排程與報告</t>
        </is>
      </c>
      <c r="D47" s="6" t="inlineStr">
        <is>
          <t xml:space="preserve">說明頁</t>
        </is>
      </c>
      <c r="E47" s="5" t="inlineStr">
        <is>
          <t xml:space="preserve">含新增計劃／停用／刪除對話框</t>
        </is>
      </c>
      <c r="F47" s="6" t="inlineStr">
        <is>
          <t xml:space="preserve">—</t>
        </is>
      </c>
      <c r="G47" s="7"/>
    </row>
    <row r="48">
      <c r="A48" s="6" t="inlineStr">
        <is>
          <t xml:space="preserve">S46</t>
        </is>
      </c>
      <c r="B48" s="5" t="inlineStr">
        <is>
          <t xml:space="preserve">8 · 設計系統與元件庫</t>
        </is>
      </c>
      <c r="C48" s="5" t="inlineStr">
        <is>
          <t xml:space="preserve">SPEC · 組織與用戶管理</t>
        </is>
      </c>
      <c r="D48" s="6" t="inlineStr">
        <is>
          <t xml:space="preserve">說明頁</t>
        </is>
      </c>
      <c r="E48" s="5" t="inlineStr">
        <is>
          <t xml:space="preserve">圖釘 ①–⑮</t>
        </is>
      </c>
      <c r="F48" s="6" t="inlineStr">
        <is>
          <t xml:space="preserve">—</t>
        </is>
      </c>
      <c r="G48" s="7"/>
    </row>
    <row r="49">
      <c r="A49" s="6" t="inlineStr">
        <is>
          <t xml:space="preserve">S47</t>
        </is>
      </c>
      <c r="B49" s="5" t="inlineStr">
        <is>
          <t xml:space="preserve">8 · 設計系統與元件庫</t>
        </is>
      </c>
      <c r="C49" s="5" t="inlineStr">
        <is>
          <t xml:space="preserve">SPEC · 手機版</t>
        </is>
      </c>
      <c r="D49" s="6" t="inlineStr">
        <is>
          <t xml:space="preserve">說明頁</t>
        </is>
      </c>
      <c r="E49" s="5" t="inlineStr">
        <is>
          <t xml:space="preserve">寬 440，只記與桌機不同處</t>
        </is>
      </c>
      <c r="F49" s="6" t="inlineStr">
        <is>
          <t xml:space="preserve">—</t>
        </is>
      </c>
      <c r="G49" s="7"/>
    </row>
    <row r="50">
      <c r="A50" s="6" t="inlineStr">
        <is>
          <t xml:space="preserve">S48</t>
        </is>
      </c>
      <c r="B50" s="5" t="inlineStr">
        <is>
          <t xml:space="preserve">1 · 資訊架構與導覽</t>
        </is>
      </c>
      <c r="C50" s="5" t="inlineStr">
        <is>
          <t xml:space="preserve">導覽收斂提案畫板</t>
        </is>
      </c>
      <c r="D50" s="6" t="inlineStr">
        <is>
          <t xml:space="preserve">說明頁</t>
        </is>
      </c>
      <c r="E50" s="5" t="inlineStr">
        <is>
          <t xml:space="preserve">方案 A 收斂說明＋取捨 Note</t>
        </is>
      </c>
      <c r="F50" s="6" t="inlineStr">
        <is>
          <t xml:space="preserve">—</t>
        </is>
      </c>
      <c r="G50" s="7"/>
    </row>
  </sheetData>
  <autoFilter ref="A2:G50"/>
  <pageMargins left="0.5" right="0.5" top="0.5" bottom="0.5" header="0.3" footer="0.3"/>
</worksheet>
</file>

<file path=xl/worksheets/sheet4.xml><?xml version="1.0" encoding="utf-8"?>
<worksheet xmlns="http://schemas.openxmlformats.org/spreadsheetml/2006/main">
  <sheetViews>
    <sheetView workbookViewId="0">
      <pane xSplit="2" ySplit="2" topLeftCell="C3" activePane="bottomRight" state="frozen"/>
      <selection pane="bottomRight" activeCell="C3" sqref="C3"/>
    </sheetView>
  </sheetViews>
  <sheetFormatPr defaultRowHeight="14.5"/>
  <cols>
    <col min="1" max="1" width="6" customWidth="1"/>
    <col min="2" max="2" width="34" customWidth="1"/>
    <col min="3" max="3" width="44" customWidth="1"/>
    <col min="4" max="4" width="26" customWidth="1"/>
    <col min="5" max="5" width="22" customWidth="1"/>
  </cols>
  <sheetData>
    <row r="1" ht="22" customHeight="1">
      <c r="B1" s="1" t="inlineStr">
        <is>
          <t xml:space="preserve">設計系統元件清單（Figma Component）</t>
        </is>
      </c>
    </row>
    <row r="2" ht="30" customHeight="1">
      <c r="A2" s="4" t="inlineStr">
        <is>
          <t xml:space="preserve">編號</t>
        </is>
      </c>
      <c r="B2" s="4" t="inlineStr">
        <is>
          <t xml:space="preserve">元件</t>
        </is>
      </c>
      <c r="C2" s="4" t="inlineStr">
        <is>
          <t xml:space="preserve">變體／屬性</t>
        </is>
      </c>
      <c r="D2" s="4" t="inlineStr">
        <is>
          <t xml:space="preserve">主要使用模組</t>
        </is>
      </c>
      <c r="E2" s="4" t="inlineStr">
        <is>
          <t xml:space="preserve">備註</t>
        </is>
      </c>
    </row>
    <row r="3">
      <c r="A3" s="5" t="inlineStr">
        <is>
          <t xml:space="preserve">C01</t>
        </is>
      </c>
      <c r="B3" s="5" t="inlineStr">
        <is>
          <t xml:space="preserve">Button</t>
        </is>
      </c>
      <c r="C3" s="5" t="inlineStr">
        <is>
          <t xml:space="preserve">4 型 × 3 態＝12 變體</t>
        </is>
      </c>
      <c r="D3" s="5" t="inlineStr">
        <is>
          <t xml:space="preserve">全站</t>
        </is>
      </c>
      <c r="E3" s="7"/>
    </row>
    <row r="4">
      <c r="A4" s="5" t="inlineStr">
        <is>
          <t xml:space="preserve">C02</t>
        </is>
      </c>
      <c r="B4" s="5" t="inlineStr">
        <is>
          <t xml:space="preserve">Sidebar／Side Menu Item</t>
        </is>
      </c>
      <c r="C4" s="5" t="inlineStr">
        <is>
          <t xml:space="preserve">3 態容器＋6 變體選單項，含 hover 展開互動</t>
        </is>
      </c>
      <c r="D4" s="5" t="inlineStr">
        <is>
          <t xml:space="preserve">全站</t>
        </is>
      </c>
      <c r="E4" s="7"/>
    </row>
    <row r="5">
      <c r="A5" s="5" t="inlineStr">
        <is>
          <t xml:space="preserve">C03</t>
        </is>
      </c>
      <c r="B5" s="5" t="inlineStr">
        <is>
          <t xml:space="preserve">Main Header／Card／Input／Warning Box</t>
        </is>
      </c>
      <c r="C5" s="5" t="inlineStr">
        <is>
          <t xml:space="preserve">Input 3 態</t>
        </is>
      </c>
      <c r="D5" s="5" t="inlineStr">
        <is>
          <t xml:space="preserve">全站</t>
        </is>
      </c>
      <c r="E5" s="7"/>
    </row>
    <row r="6">
      <c r="A6" s="5" t="inlineStr">
        <is>
          <t xml:space="preserve">C04</t>
        </is>
      </c>
      <c r="B6" s="5" t="inlineStr">
        <is>
          <t xml:space="preserve">Dialog</t>
        </is>
      </c>
      <c r="C6" s="5" t="inlineStr">
        <is>
          <t xml:space="preserve">3 種層級＋「需輸入名稱」布林屬性</t>
        </is>
      </c>
      <c r="D6" s="5" t="inlineStr">
        <is>
          <t xml:space="preserve">全站</t>
        </is>
      </c>
      <c r="E6" s="7"/>
    </row>
    <row r="7">
      <c r="A7" s="5" t="inlineStr">
        <is>
          <t xml:space="preserve">C05</t>
        </is>
      </c>
      <c r="B7" s="5" t="inlineStr">
        <is>
          <t xml:space="preserve">Dropdown Menu／Menu Item</t>
        </is>
      </c>
      <c r="C7" s="5" t="inlineStr">
        <is>
          <t xml:space="preserve">通用容器＋2 態選項；具名版本 5 組</t>
        </is>
      </c>
      <c r="D7" s="5" t="inlineStr">
        <is>
          <t xml:space="preserve">全站</t>
        </is>
      </c>
      <c r="E7" s="7"/>
    </row>
    <row r="8">
      <c r="A8" s="5" t="inlineStr">
        <is>
          <t xml:space="preserve">C06</t>
        </is>
      </c>
      <c r="B8" s="5" t="inlineStr">
        <is>
          <t xml:space="preserve">Message Bubble</t>
        </is>
      </c>
      <c r="C8" s="5" t="inlineStr">
        <is>
          <t xml:space="preserve">5 種狀態＋收合屬性</t>
        </is>
      </c>
      <c r="D8" s="5" t="inlineStr">
        <is>
          <t xml:space="preserve">對話</t>
        </is>
      </c>
      <c r="E8" s="7"/>
    </row>
    <row r="9">
      <c r="A9" s="5" t="inlineStr">
        <is>
          <t xml:space="preserve">C07</t>
        </is>
      </c>
      <c r="B9" s="5" t="inlineStr">
        <is>
          <t xml:space="preserve">Composer</t>
        </is>
      </c>
      <c r="C9" s="5" t="inlineStr">
        <is>
          <t xml:space="preserve">4 態</t>
        </is>
      </c>
      <c r="D9" s="5" t="inlineStr">
        <is>
          <t xml:space="preserve">對話</t>
        </is>
      </c>
      <c r="E9" s="7"/>
    </row>
    <row r="10">
      <c r="A10" s="5" t="inlineStr">
        <is>
          <t xml:space="preserve">C08</t>
        </is>
      </c>
      <c r="B10" s="5" t="inlineStr">
        <is>
          <t xml:space="preserve">MD Block</t>
        </is>
      </c>
      <c r="C10" s="5" t="inlineStr">
        <is>
          <t xml:space="preserve">9 型</t>
        </is>
      </c>
      <c r="D10" s="5" t="inlineStr">
        <is>
          <t xml:space="preserve">對話／報告</t>
        </is>
      </c>
      <c r="E10" s="7"/>
    </row>
    <row r="11">
      <c r="A11" s="5" t="inlineStr">
        <is>
          <t xml:space="preserve">C09</t>
        </is>
      </c>
      <c r="B11" s="5" t="inlineStr">
        <is>
          <t xml:space="preserve">Attachment Chip</t>
        </is>
      </c>
      <c r="C11" s="5" t="inlineStr">
        <is>
          <t xml:space="preserve">4 型</t>
        </is>
      </c>
      <c r="D11" s="5" t="inlineStr">
        <is>
          <t xml:space="preserve">對話</t>
        </is>
      </c>
      <c r="E11" s="7"/>
    </row>
    <row r="12">
      <c r="A12" s="5" t="inlineStr">
        <is>
          <t xml:space="preserve">C10</t>
        </is>
      </c>
      <c r="B12" s="5" t="inlineStr">
        <is>
          <t xml:space="preserve">提問目錄 TOC／TOC Item</t>
        </is>
      </c>
      <c r="C12" s="5" t="inlineStr">
        <is>
          <t xml:space="preserve">2 態／3 態</t>
        </is>
      </c>
      <c r="D12" s="5" t="inlineStr">
        <is>
          <t xml:space="preserve">對話</t>
        </is>
      </c>
      <c r="E12" s="7"/>
    </row>
    <row r="13">
      <c r="A13" s="5" t="inlineStr">
        <is>
          <t xml:space="preserve">C11</t>
        </is>
      </c>
      <c r="B13" s="5" t="inlineStr">
        <is>
          <t xml:space="preserve">History Item</t>
        </is>
      </c>
      <c r="C13" s="5" t="inlineStr">
        <is>
          <t xml:space="preserve">3 態＋文字屬性</t>
        </is>
      </c>
      <c r="D13" s="5" t="inlineStr">
        <is>
          <t xml:space="preserve">對話</t>
        </is>
      </c>
      <c r="E13" s="7"/>
    </row>
    <row r="14">
      <c r="A14" s="5" t="inlineStr">
        <is>
          <t xml:space="preserve">C12</t>
        </is>
      </c>
      <c r="B14" s="5" t="inlineStr">
        <is>
          <t xml:space="preserve">KB List Item／KB Card／Mode Tag／Doc Card</t>
        </is>
      </c>
      <c r="C14" s="5" t="inlineStr">
        <is>
          <t xml:space="preserve">4 態／2 態／2 型／含布林屬性</t>
        </is>
      </c>
      <c r="D14" s="5" t="inlineStr">
        <is>
          <t xml:space="preserve">知識庫</t>
        </is>
      </c>
      <c r="E14" s="7"/>
    </row>
    <row r="15">
      <c r="A15" s="5" t="inlineStr">
        <is>
          <t xml:space="preserve">C13</t>
        </is>
      </c>
      <c r="B15" s="5" t="inlineStr">
        <is>
          <t xml:space="preserve">Context Budget／Template Card／Hit Card／Version Item／Source Chip</t>
        </is>
      </c>
      <c r="C15" s="5" t="inlineStr">
        <is>
          <t xml:space="preserve">各 1</t>
        </is>
      </c>
      <c r="D15" s="5" t="inlineStr">
        <is>
          <t xml:space="preserve">知識庫／對話</t>
        </is>
      </c>
      <c r="E15" s="7"/>
    </row>
    <row r="16">
      <c r="A16" s="5" t="inlineStr">
        <is>
          <t xml:space="preserve">C14</t>
        </is>
      </c>
      <c r="B16" s="5" t="inlineStr">
        <is>
          <t xml:space="preserve">Change Flag／Diff Row／Toggle</t>
        </is>
      </c>
      <c r="C16" s="5" t="inlineStr">
        <is>
          <t xml:space="preserve">3 型／3 型／3 態</t>
        </is>
      </c>
      <c r="D16" s="5" t="inlineStr">
        <is>
          <t xml:space="preserve">知識庫</t>
        </is>
      </c>
      <c r="E16" s="7"/>
    </row>
    <row r="17">
      <c r="A17" s="5" t="inlineStr">
        <is>
          <t xml:space="preserve">C15</t>
        </is>
      </c>
      <c r="B17" s="5" t="inlineStr">
        <is>
          <t xml:space="preserve">Dashboard List Item</t>
        </is>
      </c>
      <c r="C17" s="5" t="inlineStr">
        <is>
          <t xml:space="preserve">4 態</t>
        </is>
      </c>
      <c r="D17" s="5" t="inlineStr">
        <is>
          <t xml:space="preserve">監控</t>
        </is>
      </c>
      <c r="E17" s="7"/>
    </row>
    <row r="18">
      <c r="A18" s="5" t="inlineStr">
        <is>
          <t xml:space="preserve">C16</t>
        </is>
      </c>
      <c r="B18" s="5" t="inlineStr">
        <is>
          <t xml:space="preserve">Stat Card</t>
        </is>
      </c>
      <c r="C18" s="5" t="inlineStr">
        <is>
          <t xml:space="preserve">3 級（正常／警告／危險）</t>
        </is>
      </c>
      <c r="D18" s="5" t="inlineStr">
        <is>
          <t xml:space="preserve">監控</t>
        </is>
      </c>
      <c r="E18" s="7"/>
    </row>
    <row r="19">
      <c r="A19" s="5" t="inlineStr">
        <is>
          <t xml:space="preserve">C17</t>
        </is>
      </c>
      <c r="B19" s="5" t="inlineStr">
        <is>
          <t xml:space="preserve">Chart Panel</t>
        </is>
      </c>
      <c r="C19" s="5" t="inlineStr">
        <is>
          <t xml:space="preserve">4 態＋布林屬性</t>
        </is>
      </c>
      <c r="D19" s="5" t="inlineStr">
        <is>
          <t xml:space="preserve">監控</t>
        </is>
      </c>
      <c r="E19" s="7"/>
    </row>
    <row r="20">
      <c r="A20" s="5" t="inlineStr">
        <is>
          <t xml:space="preserve">C18</t>
        </is>
      </c>
      <c r="B20" s="5" t="inlineStr">
        <is>
          <t xml:space="preserve">Panel Placeholder</t>
        </is>
      </c>
      <c r="C20" s="5" t="inlineStr">
        <is>
          <t xml:space="preserve">1</t>
        </is>
      </c>
      <c r="D20" s="5" t="inlineStr">
        <is>
          <t xml:space="preserve">監控</t>
        </is>
      </c>
      <c r="E20" s="7"/>
    </row>
    <row r="21">
      <c r="A21" s="5" t="inlineStr">
        <is>
          <t xml:space="preserve">C19</t>
        </is>
      </c>
      <c r="B21" s="5" t="inlineStr">
        <is>
          <t xml:space="preserve">手機專用元件</t>
        </is>
      </c>
      <c r="C21" s="5" t="inlineStr">
        <is>
          <t xml:space="preserve">Header／Status Bar／Report Card／Filter Chip／Tab Bar 共 5 個</t>
        </is>
      </c>
      <c r="D21" s="5" t="inlineStr">
        <is>
          <t xml:space="preserve">手機版</t>
        </is>
      </c>
      <c r="E21" s="7"/>
    </row>
    <row r="22">
      <c r="A22" s="5" t="inlineStr">
        <is>
          <t xml:space="preserve">C20</t>
        </is>
      </c>
      <c r="B22" s="5" t="inlineStr">
        <is>
          <t xml:space="preserve">規格註記元件</t>
        </is>
      </c>
      <c r="C22" s="5" t="inlineStr">
        <is>
          <t xml:space="preserve">specInfo／Annotation Note／Annotation Pin</t>
        </is>
      </c>
      <c r="D22" s="5" t="inlineStr">
        <is>
          <t xml:space="preserve">說明頁（非產品 UI）</t>
        </is>
      </c>
      <c r="E22" s="7"/>
    </row>
  </sheetData>
  <autoFilter ref="A2:E22"/>
  <pageMargins left="0.5" right="0.5" top="0.5" bottom="0.5" header="0.3" footer="0.3"/>
</worksheet>
</file>

<file path=xl/worksheets/sheet5.xml><?xml version="1.0" encoding="utf-8"?>
<worksheet xmlns="http://schemas.openxmlformats.org/spreadsheetml/2006/main">
  <sheetViews>
    <sheetView workbookViewId="0">
      <pane xSplit="2" ySplit="2" topLeftCell="C3" activePane="bottomRight" state="frozen"/>
      <selection pane="bottomRight" activeCell="C3" sqref="C3"/>
    </sheetView>
  </sheetViews>
  <sheetFormatPr defaultRowHeight="14.5"/>
  <cols>
    <col min="1" max="1" width="6" customWidth="1"/>
    <col min="2" max="2" width="26" customWidth="1"/>
    <col min="3" max="3" width="66" customWidth="1"/>
    <col min="4" max="4" width="22" customWidth="1"/>
    <col min="5" max="5" width="16" customWidth="1"/>
    <col min="6" max="6" width="12" customWidth="1"/>
    <col min="7" max="7" width="26" customWidth="1"/>
  </cols>
  <sheetData>
    <row r="1" ht="22" customHeight="1">
      <c r="B1" s="1" t="inlineStr">
        <is>
          <t xml:space="preserve">報價前待確認事項（未定案會影響工時估算）</t>
        </is>
      </c>
    </row>
    <row r="2" ht="30" customHeight="1">
      <c r="A2" s="4" t="inlineStr">
        <is>
          <t xml:space="preserve">編號</t>
        </is>
      </c>
      <c r="B2" s="4" t="inlineStr">
        <is>
          <t xml:space="preserve">項目</t>
        </is>
      </c>
      <c r="C2" s="4" t="inlineStr">
        <is>
          <t xml:space="preserve">說明</t>
        </is>
      </c>
      <c r="D2" s="4" t="inlineStr">
        <is>
          <t xml:space="preserve">影響範圍</t>
        </is>
      </c>
      <c r="E2" s="4" t="inlineStr">
        <is>
          <t xml:space="preserve">需誰決定</t>
        </is>
      </c>
      <c r="F2" s="4" t="inlineStr">
        <is>
          <t xml:space="preserve">狀態</t>
        </is>
      </c>
      <c r="G2" s="4" t="inlineStr">
        <is>
          <t xml:space="preserve">確認結果／回覆</t>
        </is>
      </c>
    </row>
    <row r="3">
      <c r="A3" s="6" t="inlineStr">
        <is>
          <t xml:space="preserve">Q1</t>
        </is>
      </c>
      <c r="B3" s="5" t="inlineStr">
        <is>
          <t xml:space="preserve">Persona</t>
        </is>
      </c>
      <c r="C3" s="5" t="inlineStr">
        <is>
          <t xml:space="preserve">主要使用者為工程師自用或管理者看報告，影響手機版與報告模組的設計優先序</t>
        </is>
      </c>
      <c r="D3" s="5" t="inlineStr">
        <is>
          <t xml:space="preserve">手機版、報告模組</t>
        </is>
      </c>
      <c r="E3" s="7" t="inlineStr">
        <is>
          <t xml:space="preserve">客戶</t>
        </is>
      </c>
      <c r="F3" s="7" t="inlineStr">
        <is>
          <t xml:space="preserve">待確認</t>
        </is>
      </c>
      <c r="G3" s="7"/>
    </row>
    <row r="4">
      <c r="A4" s="6" t="inlineStr">
        <is>
          <t xml:space="preserve">Q2</t>
        </is>
      </c>
      <c r="B4" s="5" t="inlineStr">
        <is>
          <t xml:space="preserve">權限模型</t>
        </is>
      </c>
      <c r="C4" s="5" t="inlineStr">
        <is>
          <t xml:space="preserve">「公開／私人」在 Dashboard、資料源、知識庫各出現一次，公開範圍（全組織／特定群組）尚未定義</t>
        </is>
      </c>
      <c r="D4" s="5" t="inlineStr">
        <is>
          <t xml:space="preserve">監控、知識庫、設定</t>
        </is>
      </c>
      <c r="E4" s="7" t="inlineStr">
        <is>
          <t xml:space="preserve">客戶</t>
        </is>
      </c>
      <c r="F4" s="7" t="inlineStr">
        <is>
          <t xml:space="preserve">待確認</t>
        </is>
      </c>
      <c r="G4" s="7"/>
    </row>
    <row r="5">
      <c r="A5" s="6" t="inlineStr">
        <is>
          <t xml:space="preserve">Q3</t>
        </is>
      </c>
      <c r="B5" s="5" t="inlineStr">
        <is>
          <t xml:space="preserve">Dashboard 範本內容</t>
        </is>
      </c>
      <c r="C5" s="5" t="inlineStr">
        <is>
          <t xml:space="preserve">現有三組範本需客戶確認是否為實際在用的 dashboard</t>
        </is>
      </c>
      <c r="D5" s="5" t="inlineStr">
        <is>
          <t xml:space="preserve">監控</t>
        </is>
      </c>
      <c r="E5" s="7" t="inlineStr">
        <is>
          <t xml:space="preserve">客戶</t>
        </is>
      </c>
      <c r="F5" s="7" t="inlineStr">
        <is>
          <t xml:space="preserve">待確認</t>
        </is>
      </c>
      <c r="G5" s="7"/>
    </row>
    <row r="6">
      <c r="A6" s="6" t="inlineStr">
        <is>
          <t xml:space="preserve">Q4</t>
        </is>
      </c>
      <c r="B6" s="5" t="inlineStr">
        <is>
          <t xml:space="preserve">AI 生成 Dashboard 邊界</t>
        </is>
      </c>
      <c r="C6" s="5" t="inlineStr">
        <is>
          <t xml:space="preserve">生成後可否編輯、查詢驗證方式、生成失敗的回饋設計尚未定案</t>
        </is>
      </c>
      <c r="D6" s="5" t="inlineStr">
        <is>
          <t xml:space="preserve">監控</t>
        </is>
      </c>
      <c r="E6" s="7" t="inlineStr">
        <is>
          <t xml:space="preserve">客戶＋RD</t>
        </is>
      </c>
      <c r="F6" s="7" t="inlineStr">
        <is>
          <t xml:space="preserve">待確認</t>
        </is>
      </c>
      <c r="G6" s="7"/>
    </row>
    <row r="7">
      <c r="A7" s="6" t="inlineStr">
        <is>
          <t xml:space="preserve">Q5</t>
        </is>
      </c>
      <c r="B7" s="5" t="inlineStr">
        <is>
          <t xml:space="preserve">資料呈現規則</t>
        </is>
      </c>
      <c r="C7" s="5" t="inlineStr">
        <is>
          <t xml:space="preserve">監控與統計目前為示意值，正式串接後的刷新頻率、逾時與失敗狀態需補設計</t>
        </is>
      </c>
      <c r="D7" s="5" t="inlineStr">
        <is>
          <t xml:space="preserve">監控</t>
        </is>
      </c>
      <c r="E7" s="7" t="inlineStr">
        <is>
          <t xml:space="preserve">RD</t>
        </is>
      </c>
      <c r="F7" s="7" t="inlineStr">
        <is>
          <t xml:space="preserve">待確認</t>
        </is>
      </c>
      <c r="G7" s="7"/>
    </row>
    <row r="8">
      <c r="A8" s="6" t="inlineStr">
        <is>
          <t xml:space="preserve">Q6</t>
        </is>
      </c>
      <c r="B8" s="5" t="inlineStr">
        <is>
          <t xml:space="preserve">舊頁面</t>
        </is>
      </c>
      <c r="C8" s="5" t="inlineStr">
        <is>
          <t xml:space="preserve">導覽收斂後原五個獨立頁面已無對應畫板，若需逐項比對需重畫</t>
        </is>
      </c>
      <c r="D8" s="5" t="inlineStr">
        <is>
          <t xml:space="preserve">全站</t>
        </is>
      </c>
      <c r="E8" s="7" t="inlineStr">
        <is>
          <t xml:space="preserve">內部</t>
        </is>
      </c>
      <c r="F8" s="7" t="inlineStr">
        <is>
          <t xml:space="preserve">待確認</t>
        </is>
      </c>
      <c r="G8" s="7"/>
    </row>
    <row r="9">
      <c r="A9" s="6" t="inlineStr">
        <is>
          <t xml:space="preserve">Q7</t>
        </is>
      </c>
      <c r="B9" s="5" t="inlineStr">
        <is>
          <t xml:space="preserve">兩處規格不一致</t>
        </is>
      </c>
      <c r="C9" s="5" t="inlineStr">
        <is>
          <t xml:space="preserve">送出快捷鍵與輸入框高度上限在設計檔內記載不一，需擇一定案</t>
        </is>
      </c>
      <c r="D9" s="5" t="inlineStr">
        <is>
          <t xml:space="preserve">對話</t>
        </is>
      </c>
      <c r="E9" s="7" t="inlineStr">
        <is>
          <t xml:space="preserve">內部</t>
        </is>
      </c>
      <c r="F9" s="7" t="inlineStr">
        <is>
          <t xml:space="preserve">待確認</t>
        </is>
      </c>
      <c r="G9" s="7"/>
    </row>
  </sheetData>
  <autoFilter ref="A2:G9"/>
  <pageMargins left="0.5" right="0.5" top="0.5" bottom="0.5" header="0.3" footer="0.3"/>
</worksheet>
</file>

<file path=xl/worksheets/sheet6.xml><?xml version="1.0" encoding="utf-8"?>
<worksheet xmlns="http://schemas.openxmlformats.org/spreadsheetml/2006/main">
  <sheetViews>
    <sheetView workbookViewId="0">
      <pane xSplit="2" ySplit="2" topLeftCell="C3" activePane="bottomRight" state="frozen"/>
      <selection pane="bottomRight" activeCell="C3" sqref="C3"/>
    </sheetView>
  </sheetViews>
  <sheetFormatPr defaultRowHeight="14.5"/>
  <cols>
    <col min="1" max="1" width="6" customWidth="1"/>
    <col min="2" max="2" width="32" customWidth="1"/>
    <col min="3" max="3" width="72" customWidth="1"/>
    <col min="4" max="4" width="22" customWidth="1"/>
  </cols>
  <sheetData>
    <row r="1" ht="22" customHeight="1">
      <c r="B1" s="1" t="inlineStr">
        <is>
          <t xml:space="preserve">明確不列入本次設計範圍（如需納入請另行報價）</t>
        </is>
      </c>
    </row>
    <row r="2" ht="30" customHeight="1">
      <c r="A2" s="4" t="inlineStr">
        <is>
          <t xml:space="preserve">編號</t>
        </is>
      </c>
      <c r="B2" s="4" t="inlineStr">
        <is>
          <t xml:space="preserve">項目</t>
        </is>
      </c>
      <c r="C2" s="4" t="inlineStr">
        <is>
          <t xml:space="preserve">說明</t>
        </is>
      </c>
      <c r="D2" s="4" t="inlineStr">
        <is>
          <t xml:space="preserve">備註</t>
        </is>
      </c>
    </row>
    <row r="3">
      <c r="A3" s="5" t="inlineStr">
        <is>
          <t xml:space="preserve">N1</t>
        </is>
      </c>
      <c r="B3" s="5" t="inlineStr">
        <is>
          <t xml:space="preserve">機房總覽 Dashboard</t>
        </is>
      </c>
      <c r="C3" s="5" t="inlineStr">
        <is>
          <t xml:space="preserve">機櫃／電力／溫濕度等實體指標，與服務層級監控分屬兩張畫面</t>
        </is>
      </c>
      <c r="D3" s="7"/>
    </row>
    <row r="4">
      <c r="A4" s="5" t="inlineStr">
        <is>
          <t xml:space="preserve">N2</t>
        </is>
      </c>
      <c r="B4" s="5" t="inlineStr">
        <is>
          <t xml:space="preserve">主動建議提問</t>
        </is>
      </c>
      <c r="C4" s="5" t="inlineStr">
        <is>
          <t xml:space="preserve">AI 主動提示下一步該問什麼</t>
        </is>
      </c>
      <c r="D4" s="7"/>
    </row>
    <row r="5">
      <c r="A5" s="5" t="inlineStr">
        <is>
          <t xml:space="preserve">N3</t>
        </is>
      </c>
      <c r="B5" s="5" t="inlineStr">
        <is>
          <t xml:space="preserve">AI 主動排錯與流程編輯</t>
        </is>
      </c>
      <c r="C5" s="5" t="inlineStr">
        <is>
          <t xml:space="preserve">讓 AI 主動找錯並可編輯自動排錯流程</t>
        </is>
      </c>
      <c r="D5" s="7"/>
    </row>
    <row r="6">
      <c r="A6" s="5" t="inlineStr">
        <is>
          <t xml:space="preserve">N4</t>
        </is>
      </c>
      <c r="B6" s="5" t="inlineStr">
        <is>
          <t xml:space="preserve">事件觸發自動處理／通報</t>
        </is>
      </c>
      <c r="C6" s="5" t="inlineStr">
        <is>
          <t xml:space="preserve">資安風險較高，可能限縮為自動通報</t>
        </is>
      </c>
      <c r="D6" s="7"/>
    </row>
    <row r="7">
      <c r="A7" s="5" t="inlineStr">
        <is>
          <t xml:space="preserve">N5</t>
        </is>
      </c>
      <c r="B7" s="5" t="inlineStr">
        <is>
          <t xml:space="preserve">報告 email 發送、公開報告群組權限</t>
        </is>
      </c>
      <c r="C7" s="5" t="inlineStr">
        <is>
          <t xml:space="preserve">需先定義權限模型（見 05_待確認事項 Q2）</t>
        </is>
      </c>
      <c r="D7" s="7"/>
    </row>
    <row r="8">
      <c r="A8" s="5" t="inlineStr">
        <is>
          <t xml:space="preserve">N6</t>
        </is>
      </c>
      <c r="B8" s="5" t="inlineStr">
        <is>
          <t xml:space="preserve">AI 工具管理與狀態觀看</t>
        </is>
      </c>
      <c r="C8" s="5" t="inlineStr">
        <is>
          <t xml:space="preserve">API／MCP／CLI 三類工具的開關與健康狀態</t>
        </is>
      </c>
      <c r="D8" s="7"/>
    </row>
    <row r="9">
      <c r="A9" s="5" t="inlineStr">
        <is>
          <t xml:space="preserve">N7</t>
        </is>
      </c>
      <c r="B9" s="5" t="inlineStr">
        <is>
          <t xml:space="preserve">前後端實作、API 規格、計費邏輯</t>
        </is>
      </c>
      <c r="C9" s="5" t="inlineStr">
        <is>
          <t xml:space="preserve">本案為 UX／UI 設計，不含實作</t>
        </is>
      </c>
      <c r="D9" s="7"/>
    </row>
  </sheetData>
  <autoFilter ref="A2:D9"/>
  <pageMargins left="0.5" right="0.5" top="0.5" bottom="0.5" header="0.3" footer="0.3"/>
</worksheet>
</file>